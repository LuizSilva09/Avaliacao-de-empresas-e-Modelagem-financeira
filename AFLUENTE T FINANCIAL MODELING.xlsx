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5b65afb6feed0f/Área de Trabalho/VALUATION AFLUENTE T/"/>
    </mc:Choice>
  </mc:AlternateContent>
  <xr:revisionPtr revIDLastSave="833" documentId="13_ncr:1_{99FAB03E-89FF-4C0E-BAEA-0D66260E2652}" xr6:coauthVersionLast="47" xr6:coauthVersionMax="47" xr10:uidLastSave="{10A6F305-E8D7-45C7-8879-2B19F36D614B}"/>
  <bookViews>
    <workbookView xWindow="-120" yWindow="-120" windowWidth="29040" windowHeight="15720" firstSheet="3" activeTab="6" xr2:uid="{00000000-000D-0000-FFFF-FFFF00000000}"/>
  </bookViews>
  <sheets>
    <sheet name="DADOS" sheetId="31" r:id="rId1"/>
    <sheet name="ESTRUTURA DE CAPITAL" sheetId="33" r:id="rId2"/>
    <sheet name="Aval. Fluxo de Caixa Descontado" sheetId="32" r:id="rId3"/>
    <sheet name="Aval. Valor Patrimonial da Ação" sheetId="42" r:id="rId4"/>
    <sheet name="Aval. VWAP" sheetId="43" r:id="rId5"/>
    <sheet name="Projeção DRE" sheetId="36" r:id="rId6"/>
    <sheet name="Proj. Receita e MG Operacional" sheetId="35" r:id="rId7"/>
    <sheet name="Proj. Custos da receita" sheetId="37" r:id="rId8"/>
    <sheet name="Proj. Despesas Operacionais" sheetId="38" r:id="rId9"/>
    <sheet name="Proj. Despesa não operacional" sheetId="39" r:id="rId10"/>
    <sheet name="Proj. Imposto de Renda" sheetId="40" r:id="rId11"/>
    <sheet name="DRE - Ajustado 3º TRI 2025" sheetId="10" r:id="rId12"/>
    <sheet name="Fluxo de caixa 3º TRI 2025" sheetId="17" r:id="rId13"/>
    <sheet name="Bal patrim - Padronizado" sheetId="14" r:id="rId14"/>
    <sheet name="Bal patrim B3 - 3º TRI 2025" sheetId="34" r:id="rId15"/>
    <sheet name="Bal patrim B3 - 3º TRI 2025 Atv" sheetId="41" r:id="rId16"/>
  </sheets>
  <definedNames>
    <definedName name="CIQWBGuid" hidden="1">"3e046976-7ccc-4fa5-9e72-1e7ffbfd9b4f"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8" i="32" l="1"/>
  <c r="C5" i="43" l="1"/>
  <c r="C5" i="42" l="1"/>
  <c r="C11" i="42" s="1"/>
  <c r="C12" i="42" s="1"/>
  <c r="K15" i="36"/>
  <c r="K13" i="39"/>
  <c r="C14" i="39"/>
  <c r="L11" i="39"/>
  <c r="M7" i="39"/>
  <c r="B37" i="39"/>
  <c r="B36" i="39"/>
  <c r="J33" i="39"/>
  <c r="I33" i="39"/>
  <c r="H33" i="39"/>
  <c r="G33" i="39"/>
  <c r="F33" i="39"/>
  <c r="E33" i="39"/>
  <c r="D33" i="39"/>
  <c r="C33" i="39"/>
  <c r="J32" i="39"/>
  <c r="I32" i="39"/>
  <c r="H32" i="39"/>
  <c r="G32" i="39"/>
  <c r="F32" i="39"/>
  <c r="E32" i="39"/>
  <c r="D32" i="39"/>
  <c r="C32" i="39"/>
  <c r="B33" i="39"/>
  <c r="B32" i="39"/>
  <c r="K17" i="39"/>
  <c r="J17" i="39"/>
  <c r="I17" i="39"/>
  <c r="H17" i="39"/>
  <c r="G17" i="39"/>
  <c r="F17" i="39"/>
  <c r="E17" i="39"/>
  <c r="D17" i="39"/>
  <c r="C17" i="39"/>
  <c r="B30" i="39"/>
  <c r="B35" i="39"/>
  <c r="B34" i="39"/>
  <c r="B31" i="39"/>
  <c r="J29" i="39"/>
  <c r="J30" i="39" s="1"/>
  <c r="I29" i="39"/>
  <c r="H29" i="39"/>
  <c r="H31" i="39" s="1"/>
  <c r="G29" i="39"/>
  <c r="G31" i="39" s="1"/>
  <c r="F29" i="39"/>
  <c r="F31" i="39" s="1"/>
  <c r="E29" i="39"/>
  <c r="E31" i="39" s="1"/>
  <c r="D29" i="39"/>
  <c r="D31" i="39" s="1"/>
  <c r="C29" i="39"/>
  <c r="C31" i="39" s="1"/>
  <c r="B29" i="39"/>
  <c r="C6" i="42" l="1"/>
  <c r="I31" i="39"/>
  <c r="J31" i="39"/>
  <c r="K23" i="36" l="1"/>
  <c r="L9" i="39"/>
  <c r="F26" i="39"/>
  <c r="E26" i="39"/>
  <c r="I25" i="39"/>
  <c r="I26" i="39" s="1"/>
  <c r="H25" i="39"/>
  <c r="H26" i="39" s="1"/>
  <c r="G25" i="39"/>
  <c r="G26" i="39" s="1"/>
  <c r="F25" i="39"/>
  <c r="E25" i="39"/>
  <c r="D25" i="39"/>
  <c r="D26" i="39" s="1"/>
  <c r="C25" i="39"/>
  <c r="C26" i="39" s="1"/>
  <c r="B25" i="39"/>
  <c r="B27" i="39" s="1"/>
  <c r="L10" i="39" s="1"/>
  <c r="K33" i="36"/>
  <c r="J33" i="36"/>
  <c r="I33" i="36"/>
  <c r="H33" i="36"/>
  <c r="G33" i="36"/>
  <c r="F33" i="36"/>
  <c r="E33" i="36"/>
  <c r="D33" i="36"/>
  <c r="C33" i="36"/>
  <c r="B33" i="36"/>
  <c r="K31" i="36"/>
  <c r="K32" i="36"/>
  <c r="J32" i="36"/>
  <c r="I32" i="36"/>
  <c r="H32" i="36"/>
  <c r="G32" i="36"/>
  <c r="F32" i="36"/>
  <c r="E32" i="36"/>
  <c r="D32" i="36"/>
  <c r="C32" i="36"/>
  <c r="B32" i="36"/>
  <c r="J31" i="36"/>
  <c r="I31" i="36"/>
  <c r="H31" i="36"/>
  <c r="G31" i="36"/>
  <c r="F31" i="36"/>
  <c r="E31" i="36"/>
  <c r="D31" i="36"/>
  <c r="C31" i="36"/>
  <c r="B31" i="36"/>
  <c r="K30" i="36"/>
  <c r="C30" i="36"/>
  <c r="D30" i="36"/>
  <c r="E30" i="36"/>
  <c r="F30" i="36"/>
  <c r="G30" i="36"/>
  <c r="H30" i="36"/>
  <c r="I30" i="36"/>
  <c r="J30" i="36"/>
  <c r="B30" i="36"/>
  <c r="K26" i="37"/>
  <c r="J26" i="37"/>
  <c r="I26" i="37"/>
  <c r="H26" i="37"/>
  <c r="G26" i="37"/>
  <c r="F26" i="37"/>
  <c r="E26" i="37"/>
  <c r="D26" i="37"/>
  <c r="C26" i="37"/>
  <c r="B26" i="37"/>
  <c r="K25" i="37"/>
  <c r="B25" i="37"/>
  <c r="J20" i="39"/>
  <c r="J21" i="39" s="1"/>
  <c r="K8" i="39"/>
  <c r="B59" i="39"/>
  <c r="K6" i="39"/>
  <c r="K5" i="39"/>
  <c r="K3" i="39"/>
  <c r="C20" i="33"/>
  <c r="L17" i="33"/>
  <c r="L16" i="33"/>
  <c r="B55" i="35"/>
  <c r="B48" i="35"/>
  <c r="L10" i="33"/>
  <c r="K60" i="34"/>
  <c r="L30" i="33"/>
  <c r="K16" i="33"/>
  <c r="J16" i="33"/>
  <c r="I16" i="33"/>
  <c r="H16" i="33"/>
  <c r="G16" i="33"/>
  <c r="F16" i="33"/>
  <c r="E16" i="33"/>
  <c r="D16" i="33"/>
  <c r="J26" i="36"/>
  <c r="I26" i="36"/>
  <c r="H26" i="36"/>
  <c r="G26" i="36"/>
  <c r="F26" i="36"/>
  <c r="E26" i="36"/>
  <c r="D26" i="36"/>
  <c r="C26" i="36"/>
  <c r="B26" i="36"/>
  <c r="H4" i="32"/>
  <c r="G4" i="32"/>
  <c r="F4" i="32"/>
  <c r="E4" i="32"/>
  <c r="D4" i="32"/>
  <c r="C4" i="32"/>
  <c r="J28" i="36"/>
  <c r="I28" i="36"/>
  <c r="H28" i="36"/>
  <c r="G28" i="36"/>
  <c r="F28" i="36"/>
  <c r="E28" i="36"/>
  <c r="D28" i="36"/>
  <c r="C28" i="36"/>
  <c r="B28" i="36"/>
  <c r="I27" i="36"/>
  <c r="H27" i="36"/>
  <c r="G27" i="36"/>
  <c r="F27" i="36"/>
  <c r="E27" i="36"/>
  <c r="D27" i="36"/>
  <c r="C27" i="36"/>
  <c r="B27" i="36"/>
  <c r="J23" i="36"/>
  <c r="J25" i="36"/>
  <c r="I25" i="36"/>
  <c r="H25" i="36"/>
  <c r="G25" i="36"/>
  <c r="F25" i="36"/>
  <c r="E25" i="36"/>
  <c r="D25" i="36"/>
  <c r="C25" i="36"/>
  <c r="B25" i="36"/>
  <c r="D24" i="36"/>
  <c r="C24" i="36"/>
  <c r="J24" i="36"/>
  <c r="I23" i="36"/>
  <c r="I24" i="36" s="1"/>
  <c r="H23" i="36"/>
  <c r="H24" i="36" s="1"/>
  <c r="G23" i="36"/>
  <c r="G24" i="36" s="1"/>
  <c r="F23" i="36"/>
  <c r="F24" i="36" s="1"/>
  <c r="E23" i="36"/>
  <c r="E24" i="36" s="1"/>
  <c r="D23" i="36"/>
  <c r="C23" i="36"/>
  <c r="B23" i="36"/>
  <c r="B24" i="36" s="1"/>
  <c r="J5" i="40"/>
  <c r="I5" i="40"/>
  <c r="H5" i="40"/>
  <c r="G5" i="40"/>
  <c r="F5" i="40"/>
  <c r="E5" i="40"/>
  <c r="D5" i="40"/>
  <c r="C5" i="40"/>
  <c r="B5" i="40"/>
  <c r="B10" i="40"/>
  <c r="J8" i="40"/>
  <c r="I8" i="40"/>
  <c r="H8" i="40"/>
  <c r="G8" i="40"/>
  <c r="F8" i="40"/>
  <c r="E8" i="40"/>
  <c r="D8" i="40"/>
  <c r="C8" i="40"/>
  <c r="B8" i="40"/>
  <c r="J3" i="39"/>
  <c r="I3" i="39"/>
  <c r="H3" i="39"/>
  <c r="G3" i="39"/>
  <c r="F3" i="39"/>
  <c r="E3" i="39"/>
  <c r="D3" i="39"/>
  <c r="C3" i="39"/>
  <c r="B3" i="39"/>
  <c r="K59" i="39"/>
  <c r="J59" i="39"/>
  <c r="I59" i="39"/>
  <c r="H59" i="39"/>
  <c r="G59" i="39"/>
  <c r="F59" i="39"/>
  <c r="E59" i="39"/>
  <c r="D59" i="39"/>
  <c r="C59" i="39"/>
  <c r="K14" i="39"/>
  <c r="J14" i="39"/>
  <c r="I14" i="39"/>
  <c r="H14" i="39"/>
  <c r="G14" i="39"/>
  <c r="F14" i="39"/>
  <c r="E14" i="39"/>
  <c r="D14" i="39"/>
  <c r="J13" i="39"/>
  <c r="I13" i="39"/>
  <c r="H13" i="39"/>
  <c r="G13" i="39"/>
  <c r="F13" i="39"/>
  <c r="E13" i="39"/>
  <c r="D13" i="39"/>
  <c r="C13" i="39"/>
  <c r="B58" i="39" l="1"/>
  <c r="B57" i="39"/>
  <c r="B26" i="39"/>
  <c r="M9" i="39"/>
  <c r="M10" i="39"/>
  <c r="A12" i="40" a="1"/>
  <c r="A12" i="40" s="1"/>
  <c r="N9" i="39" l="1"/>
  <c r="N10" i="39"/>
  <c r="K25" i="38"/>
  <c r="K26" i="38"/>
  <c r="K24" i="38"/>
  <c r="T9" i="36" s="1"/>
  <c r="B23" i="38"/>
  <c r="K9" i="36"/>
  <c r="K7" i="36"/>
  <c r="J8" i="36"/>
  <c r="K10" i="36"/>
  <c r="O10" i="39" l="1"/>
  <c r="O9" i="39"/>
  <c r="C23" i="38"/>
  <c r="L9" i="36" s="1"/>
  <c r="D23" i="38"/>
  <c r="M9" i="36" s="1"/>
  <c r="E23" i="38"/>
  <c r="N9" i="36" s="1"/>
  <c r="L10" i="36"/>
  <c r="M10" i="36"/>
  <c r="N10" i="36"/>
  <c r="O10" i="36"/>
  <c r="P10" i="36"/>
  <c r="Q10" i="36"/>
  <c r="R10" i="36"/>
  <c r="S10" i="36"/>
  <c r="L11" i="36"/>
  <c r="M11" i="36"/>
  <c r="N11" i="36"/>
  <c r="O11" i="36"/>
  <c r="P11" i="36"/>
  <c r="Q11" i="36"/>
  <c r="R11" i="36"/>
  <c r="S11" i="36"/>
  <c r="L12" i="36"/>
  <c r="M12" i="36"/>
  <c r="N12" i="36"/>
  <c r="O12" i="36"/>
  <c r="P12" i="36"/>
  <c r="Q12" i="36"/>
  <c r="R12" i="36"/>
  <c r="S12" i="36"/>
  <c r="T12" i="36"/>
  <c r="H20" i="39"/>
  <c r="H21" i="39" s="1"/>
  <c r="G20" i="39"/>
  <c r="G21" i="39" s="1"/>
  <c r="F20" i="39"/>
  <c r="F21" i="39" s="1"/>
  <c r="E20" i="39"/>
  <c r="E21" i="39" s="1"/>
  <c r="D20" i="39"/>
  <c r="D21" i="39" s="1"/>
  <c r="C20" i="39"/>
  <c r="C21" i="39" s="1"/>
  <c r="B20" i="39"/>
  <c r="L7" i="36"/>
  <c r="M7" i="36" s="1"/>
  <c r="C9" i="39"/>
  <c r="K9" i="39"/>
  <c r="J9" i="39"/>
  <c r="I9" i="39"/>
  <c r="H9" i="39"/>
  <c r="G9" i="39"/>
  <c r="F9" i="39"/>
  <c r="E9" i="39"/>
  <c r="D9" i="39"/>
  <c r="K16" i="36"/>
  <c r="J8" i="39"/>
  <c r="I8" i="39"/>
  <c r="H8" i="39"/>
  <c r="G8" i="39"/>
  <c r="F8" i="39"/>
  <c r="E8" i="39"/>
  <c r="D8" i="39"/>
  <c r="C8" i="39"/>
  <c r="B6" i="39"/>
  <c r="C6" i="39"/>
  <c r="J6" i="39"/>
  <c r="I6" i="39"/>
  <c r="H6" i="39"/>
  <c r="G6" i="39"/>
  <c r="F6" i="39"/>
  <c r="E6" i="39"/>
  <c r="D6" i="39"/>
  <c r="B5" i="39"/>
  <c r="J5" i="39"/>
  <c r="I5" i="39"/>
  <c r="H5" i="39"/>
  <c r="G5" i="39"/>
  <c r="F5" i="39"/>
  <c r="E5" i="39"/>
  <c r="D5" i="39"/>
  <c r="C5" i="39"/>
  <c r="C30" i="39" l="1"/>
  <c r="G30" i="39"/>
  <c r="E30" i="39"/>
  <c r="F30" i="39"/>
  <c r="H30" i="39"/>
  <c r="D30" i="39"/>
  <c r="I30" i="39"/>
  <c r="B22" i="39"/>
  <c r="L7" i="39" s="1"/>
  <c r="L30" i="36" s="1"/>
  <c r="P10" i="39"/>
  <c r="P9" i="39"/>
  <c r="L8" i="39"/>
  <c r="C57" i="39" s="1"/>
  <c r="L15" i="36" s="1"/>
  <c r="N8" i="36"/>
  <c r="F23" i="38"/>
  <c r="O9" i="36" s="1"/>
  <c r="G23" i="38" s="1"/>
  <c r="P9" i="36" s="1"/>
  <c r="P8" i="36" s="1"/>
  <c r="M8" i="36"/>
  <c r="A40" i="39" a="1"/>
  <c r="A40" i="39" s="1"/>
  <c r="B21" i="39"/>
  <c r="L8" i="36"/>
  <c r="N7" i="36"/>
  <c r="O7" i="36"/>
  <c r="P7" i="36" s="1"/>
  <c r="Q7" i="36" s="1"/>
  <c r="Q10" i="39" l="1"/>
  <c r="Q9" i="39"/>
  <c r="M8" i="39"/>
  <c r="D57" i="39" s="1"/>
  <c r="M15" i="36" s="1"/>
  <c r="K5" i="40"/>
  <c r="B28" i="40" s="1"/>
  <c r="K20" i="36" s="1"/>
  <c r="I5" i="32" s="1"/>
  <c r="O8" i="36"/>
  <c r="H23" i="38"/>
  <c r="Q9" i="36" s="1"/>
  <c r="Q8" i="36" s="1"/>
  <c r="C58" i="39"/>
  <c r="L16" i="36" s="1"/>
  <c r="R7" i="36"/>
  <c r="R10" i="39" l="1"/>
  <c r="R9" i="39"/>
  <c r="M30" i="36"/>
  <c r="L5" i="40"/>
  <c r="C28" i="40" s="1"/>
  <c r="L20" i="36" s="1"/>
  <c r="J5" i="32" s="1"/>
  <c r="I23" i="38"/>
  <c r="R9" i="36" s="1"/>
  <c r="D58" i="39"/>
  <c r="M16" i="36" s="1"/>
  <c r="S7" i="36"/>
  <c r="T7" i="36" s="1"/>
  <c r="S10" i="39" l="1"/>
  <c r="S9" i="39"/>
  <c r="N7" i="39"/>
  <c r="N30" i="36" s="1"/>
  <c r="M5" i="40"/>
  <c r="D28" i="40" s="1"/>
  <c r="M20" i="36" s="1"/>
  <c r="K5" i="32" s="1"/>
  <c r="N8" i="39"/>
  <c r="R8" i="36"/>
  <c r="J23" i="38"/>
  <c r="S9" i="36" s="1"/>
  <c r="S8" i="36" s="1"/>
  <c r="K23" i="38"/>
  <c r="T10" i="39" l="1"/>
  <c r="T9" i="39"/>
  <c r="E57" i="39"/>
  <c r="N15" i="36" s="1"/>
  <c r="E58" i="39"/>
  <c r="N16" i="36" s="1"/>
  <c r="O7" i="39"/>
  <c r="O30" i="36" s="1"/>
  <c r="N5" i="40"/>
  <c r="E28" i="40" s="1"/>
  <c r="N20" i="36" s="1"/>
  <c r="L5" i="32" s="1"/>
  <c r="O8" i="39"/>
  <c r="F58" i="39" l="1"/>
  <c r="O16" i="36" s="1"/>
  <c r="F57" i="39"/>
  <c r="O15" i="36" s="1"/>
  <c r="P7" i="39"/>
  <c r="P30" i="36" s="1"/>
  <c r="O5" i="40"/>
  <c r="F28" i="40" s="1"/>
  <c r="O20" i="36" s="1"/>
  <c r="M5" i="32" s="1"/>
  <c r="P8" i="39"/>
  <c r="G58" i="39" l="1"/>
  <c r="P16" i="36" s="1"/>
  <c r="G57" i="39"/>
  <c r="P15" i="36" s="1"/>
  <c r="Q7" i="39"/>
  <c r="Q30" i="36" s="1"/>
  <c r="P5" i="40"/>
  <c r="G28" i="40" s="1"/>
  <c r="P20" i="36" s="1"/>
  <c r="N5" i="32" s="1"/>
  <c r="Q8" i="39"/>
  <c r="H58" i="39" l="1"/>
  <c r="Q16" i="36" s="1"/>
  <c r="H57" i="39"/>
  <c r="Q15" i="36" s="1"/>
  <c r="R7" i="39"/>
  <c r="R30" i="36" s="1"/>
  <c r="Q5" i="40"/>
  <c r="H28" i="40" s="1"/>
  <c r="Q20" i="36" s="1"/>
  <c r="O5" i="32" s="1"/>
  <c r="R8" i="39"/>
  <c r="I58" i="39" l="1"/>
  <c r="R16" i="36" s="1"/>
  <c r="I57" i="39"/>
  <c r="R15" i="36" s="1"/>
  <c r="S7" i="39"/>
  <c r="S30" i="36" s="1"/>
  <c r="R5" i="40"/>
  <c r="I28" i="40" s="1"/>
  <c r="R20" i="36" s="1"/>
  <c r="P5" i="32" s="1"/>
  <c r="S8" i="39"/>
  <c r="T7" i="39" l="1"/>
  <c r="T8" i="39"/>
  <c r="J57" i="39"/>
  <c r="S15" i="36" s="1"/>
  <c r="J58" i="39"/>
  <c r="S16" i="36" s="1"/>
  <c r="S5" i="40"/>
  <c r="J28" i="40" s="1"/>
  <c r="S20" i="36" s="1"/>
  <c r="Q5" i="32" s="1"/>
  <c r="B17" i="36"/>
  <c r="B14" i="36" s="1"/>
  <c r="J26" i="38"/>
  <c r="I26" i="38"/>
  <c r="H26" i="38"/>
  <c r="G26" i="38"/>
  <c r="F26" i="38"/>
  <c r="E26" i="38"/>
  <c r="D26" i="38"/>
  <c r="C26" i="38"/>
  <c r="B26" i="38"/>
  <c r="K12" i="36" s="1"/>
  <c r="B25" i="38"/>
  <c r="K11" i="36" s="1"/>
  <c r="K8" i="36" s="1"/>
  <c r="T11" i="36"/>
  <c r="J25" i="38"/>
  <c r="I25" i="38"/>
  <c r="H25" i="38"/>
  <c r="G25" i="38"/>
  <c r="F25" i="38"/>
  <c r="E25" i="38"/>
  <c r="D25" i="38"/>
  <c r="C25" i="38"/>
  <c r="T10" i="36"/>
  <c r="J24" i="38"/>
  <c r="I24" i="38"/>
  <c r="H24" i="38"/>
  <c r="G24" i="38"/>
  <c r="F24" i="38"/>
  <c r="E24" i="38"/>
  <c r="D24" i="38"/>
  <c r="C24" i="38"/>
  <c r="B24" i="38"/>
  <c r="T5" i="36"/>
  <c r="N5" i="36"/>
  <c r="M5" i="36"/>
  <c r="L5" i="36"/>
  <c r="K5" i="36"/>
  <c r="K6" i="36" s="1"/>
  <c r="S5" i="36"/>
  <c r="R5" i="36"/>
  <c r="Q5" i="36"/>
  <c r="P5" i="36"/>
  <c r="O5" i="36"/>
  <c r="T4" i="36"/>
  <c r="J25" i="37"/>
  <c r="S4" i="36" s="1"/>
  <c r="I25" i="37"/>
  <c r="R4" i="36" s="1"/>
  <c r="H25" i="37"/>
  <c r="Q4" i="36" s="1"/>
  <c r="G25" i="37"/>
  <c r="P4" i="36" s="1"/>
  <c r="F25" i="37"/>
  <c r="O4" i="36" s="1"/>
  <c r="E25" i="37"/>
  <c r="N4" i="36" s="1"/>
  <c r="D25" i="37"/>
  <c r="M4" i="36" s="1"/>
  <c r="C25" i="37"/>
  <c r="L4" i="36" s="1"/>
  <c r="K4" i="36"/>
  <c r="T5" i="40" l="1"/>
  <c r="K28" i="40" s="1"/>
  <c r="T20" i="36" s="1"/>
  <c r="R5" i="32" s="1"/>
  <c r="T30" i="36"/>
  <c r="K57" i="39"/>
  <c r="T15" i="36" s="1"/>
  <c r="K58" i="39"/>
  <c r="T16" i="36" s="1"/>
  <c r="T8" i="36"/>
  <c r="K17" i="36"/>
  <c r="J6" i="36"/>
  <c r="J27" i="36" s="1"/>
  <c r="I21" i="36" l="1"/>
  <c r="I29" i="36" s="1"/>
  <c r="H21" i="36"/>
  <c r="H29" i="36" s="1"/>
  <c r="G21" i="36"/>
  <c r="G29" i="36" s="1"/>
  <c r="F21" i="36"/>
  <c r="F29" i="36" s="1"/>
  <c r="E21" i="36"/>
  <c r="E29" i="36" s="1"/>
  <c r="D21" i="36"/>
  <c r="D29" i="36" s="1"/>
  <c r="C21" i="36"/>
  <c r="C29" i="36" s="1"/>
  <c r="B21" i="36"/>
  <c r="B29" i="36" s="1"/>
  <c r="J21" i="36"/>
  <c r="J29" i="36" s="1"/>
  <c r="T17" i="36"/>
  <c r="S17" i="36"/>
  <c r="R17" i="36"/>
  <c r="Q17" i="36"/>
  <c r="P17" i="36"/>
  <c r="O17" i="36"/>
  <c r="N17" i="36"/>
  <c r="M17" i="36"/>
  <c r="L17" i="36"/>
  <c r="J17" i="36"/>
  <c r="J14" i="36" s="1"/>
  <c r="J19" i="36" s="1"/>
  <c r="I17" i="36"/>
  <c r="I14" i="36" s="1"/>
  <c r="H17" i="36"/>
  <c r="H14" i="36" s="1"/>
  <c r="G17" i="36"/>
  <c r="G14" i="36" s="1"/>
  <c r="F17" i="36"/>
  <c r="F14" i="36" s="1"/>
  <c r="E17" i="36"/>
  <c r="E14" i="36" s="1"/>
  <c r="D17" i="36"/>
  <c r="D14" i="36" s="1"/>
  <c r="C17" i="36"/>
  <c r="C14" i="36" s="1"/>
  <c r="F12" i="35"/>
  <c r="C54" i="35"/>
  <c r="C19" i="32"/>
  <c r="E27" i="35"/>
  <c r="E32" i="35" s="1"/>
  <c r="P6" i="33"/>
  <c r="P7" i="33"/>
  <c r="O8" i="33"/>
  <c r="C3" i="32"/>
  <c r="H21" i="35"/>
  <c r="I21" i="35" s="1"/>
  <c r="H20" i="35"/>
  <c r="I20" i="35" s="1"/>
  <c r="H19" i="35"/>
  <c r="I19" i="35" s="1"/>
  <c r="H18" i="35"/>
  <c r="I18" i="35" s="1"/>
  <c r="H17" i="35"/>
  <c r="I17" i="35" s="1"/>
  <c r="H16" i="35"/>
  <c r="I16" i="35" s="1"/>
  <c r="H15" i="35"/>
  <c r="I15" i="35" s="1"/>
  <c r="H14" i="35"/>
  <c r="I14" i="35" s="1"/>
  <c r="H13" i="35"/>
  <c r="I13" i="35" s="1"/>
  <c r="H12" i="35"/>
  <c r="I12" i="35" s="1"/>
  <c r="H3" i="32"/>
  <c r="G3" i="32"/>
  <c r="F3" i="32"/>
  <c r="E3" i="32"/>
  <c r="D3" i="32"/>
  <c r="F27" i="35"/>
  <c r="F32" i="35" s="1"/>
  <c r="K27" i="35"/>
  <c r="K32" i="35" s="1"/>
  <c r="G27" i="35"/>
  <c r="J27" i="35"/>
  <c r="J32" i="35" s="1"/>
  <c r="I27" i="35"/>
  <c r="H27" i="35"/>
  <c r="G21" i="35"/>
  <c r="G20" i="35"/>
  <c r="G19" i="35"/>
  <c r="G18" i="35"/>
  <c r="G17" i="35"/>
  <c r="G16" i="35"/>
  <c r="G15" i="35"/>
  <c r="G14" i="35"/>
  <c r="G13" i="35"/>
  <c r="G12" i="35"/>
  <c r="P8" i="33" l="1"/>
  <c r="C33" i="35"/>
  <c r="C32" i="35"/>
  <c r="C43" i="35" l="1"/>
  <c r="C34" i="35"/>
  <c r="C31" i="35"/>
  <c r="B51" i="35" s="1"/>
  <c r="F21" i="35"/>
  <c r="F20" i="35"/>
  <c r="F19" i="35"/>
  <c r="F18" i="35"/>
  <c r="F17" i="35"/>
  <c r="F16" i="35"/>
  <c r="F15" i="35"/>
  <c r="F14" i="35"/>
  <c r="F13" i="35"/>
  <c r="L5" i="35"/>
  <c r="K5" i="35"/>
  <c r="J5" i="35"/>
  <c r="I5" i="35"/>
  <c r="H5" i="35"/>
  <c r="G5" i="35"/>
  <c r="F5" i="35"/>
  <c r="E5" i="35"/>
  <c r="D5" i="35"/>
  <c r="C5" i="35"/>
  <c r="C42" i="35" l="1"/>
  <c r="C44" i="35"/>
  <c r="L4" i="35"/>
  <c r="L6" i="35" s="1"/>
  <c r="K4" i="35"/>
  <c r="K6" i="35" s="1"/>
  <c r="J4" i="35"/>
  <c r="J6" i="35" s="1"/>
  <c r="I4" i="35"/>
  <c r="I6" i="35" s="1"/>
  <c r="H4" i="35"/>
  <c r="H6" i="35" s="1"/>
  <c r="G4" i="35"/>
  <c r="G6" i="35" s="1"/>
  <c r="F4" i="35"/>
  <c r="F6" i="35" s="1"/>
  <c r="E4" i="35"/>
  <c r="E6" i="35" s="1"/>
  <c r="D4" i="35"/>
  <c r="D6" i="35" s="1"/>
  <c r="C4" i="35"/>
  <c r="C6" i="35" s="1"/>
  <c r="L3" i="35"/>
  <c r="K3" i="35"/>
  <c r="J3" i="35"/>
  <c r="I3" i="35"/>
  <c r="H3" i="35"/>
  <c r="G3" i="35"/>
  <c r="F3" i="35"/>
  <c r="E3" i="35"/>
  <c r="D3" i="35"/>
  <c r="C3" i="35"/>
  <c r="K30" i="33" l="1"/>
  <c r="J30" i="33"/>
  <c r="G30" i="33"/>
  <c r="F30" i="33"/>
  <c r="E30" i="33"/>
  <c r="D30" i="33"/>
  <c r="D10" i="31"/>
  <c r="D9" i="31"/>
  <c r="E9" i="31"/>
  <c r="M9" i="31"/>
  <c r="L9" i="31"/>
  <c r="K9" i="31"/>
  <c r="J9" i="31"/>
  <c r="I9" i="31"/>
  <c r="H9" i="31"/>
  <c r="G9" i="31"/>
  <c r="F9" i="31"/>
  <c r="M7" i="31"/>
  <c r="L7" i="31"/>
  <c r="K7" i="31"/>
  <c r="J7" i="31"/>
  <c r="I7" i="31"/>
  <c r="H7" i="31"/>
  <c r="G7" i="31"/>
  <c r="F7" i="31"/>
  <c r="E7" i="31"/>
  <c r="M6" i="31"/>
  <c r="L6" i="31"/>
  <c r="K6" i="31"/>
  <c r="J6" i="31"/>
  <c r="I6" i="31"/>
  <c r="H6" i="31"/>
  <c r="G6" i="31"/>
  <c r="F6" i="31"/>
  <c r="E6" i="31"/>
  <c r="M26" i="31"/>
  <c r="L26" i="31"/>
  <c r="K26" i="31"/>
  <c r="J26" i="31"/>
  <c r="I26" i="31"/>
  <c r="H26" i="31"/>
  <c r="G26" i="31"/>
  <c r="F26" i="31"/>
  <c r="E26" i="31"/>
  <c r="E27" i="31"/>
  <c r="M27" i="31"/>
  <c r="L27" i="31"/>
  <c r="K27" i="31"/>
  <c r="I30" i="33" s="1"/>
  <c r="J27" i="31"/>
  <c r="H30" i="33" s="1"/>
  <c r="I27" i="31"/>
  <c r="H27" i="31"/>
  <c r="G27" i="31"/>
  <c r="F27" i="31"/>
  <c r="L6" i="33"/>
  <c r="L7" i="33"/>
  <c r="L15" i="33"/>
  <c r="K15" i="33"/>
  <c r="J15" i="33"/>
  <c r="I15" i="33"/>
  <c r="H15" i="33"/>
  <c r="G15" i="33"/>
  <c r="F15" i="33"/>
  <c r="E15" i="33"/>
  <c r="D15" i="33"/>
  <c r="K7" i="33"/>
  <c r="J7" i="33"/>
  <c r="I7" i="33"/>
  <c r="H7" i="33"/>
  <c r="G7" i="33"/>
  <c r="F7" i="33"/>
  <c r="E7" i="33"/>
  <c r="K6" i="33"/>
  <c r="J6" i="33"/>
  <c r="I6" i="33"/>
  <c r="H6" i="33"/>
  <c r="G6" i="33"/>
  <c r="F6" i="33"/>
  <c r="E6" i="33"/>
  <c r="D7" i="33"/>
  <c r="D6" i="33"/>
  <c r="L8" i="33" l="1"/>
  <c r="L11" i="33" s="1"/>
  <c r="L31" i="33" s="1"/>
  <c r="I8" i="33"/>
  <c r="J8" i="33"/>
  <c r="J11" i="33" s="1"/>
  <c r="I17" i="33"/>
  <c r="J17" i="33"/>
  <c r="D8" i="33"/>
  <c r="H8" i="33"/>
  <c r="H11" i="33" s="1"/>
  <c r="E8" i="33"/>
  <c r="E10" i="33" s="1"/>
  <c r="I11" i="33"/>
  <c r="I10" i="33"/>
  <c r="F8" i="33"/>
  <c r="G8" i="33"/>
  <c r="K8" i="33"/>
  <c r="K17" i="33" s="1"/>
  <c r="D11" i="33" l="1"/>
  <c r="D10" i="33"/>
  <c r="D17" i="33"/>
  <c r="J10" i="33"/>
  <c r="E17" i="33"/>
  <c r="F17" i="33"/>
  <c r="H17" i="33"/>
  <c r="G17" i="33"/>
  <c r="H10" i="33"/>
  <c r="E11" i="33"/>
  <c r="F10" i="33"/>
  <c r="F11" i="33"/>
  <c r="K10" i="33"/>
  <c r="K11" i="33"/>
  <c r="G11" i="33"/>
  <c r="G10" i="33"/>
  <c r="I7" i="32" l="1"/>
  <c r="J7" i="32" s="1"/>
  <c r="K7" i="32" s="1"/>
  <c r="L7" i="32" s="1"/>
  <c r="M7" i="32" s="1"/>
  <c r="N7" i="32" s="1"/>
  <c r="O7" i="32" s="1"/>
  <c r="P7" i="32" s="1"/>
  <c r="Q7" i="32" s="1"/>
  <c r="R7" i="32" s="1"/>
  <c r="I24" i="32" l="1"/>
  <c r="J1" i="32"/>
  <c r="J24" i="32" s="1"/>
  <c r="M41" i="31"/>
  <c r="L41" i="31"/>
  <c r="K41" i="31"/>
  <c r="J41" i="31"/>
  <c r="I41" i="31"/>
  <c r="H41" i="31"/>
  <c r="G41" i="31"/>
  <c r="F41" i="31"/>
  <c r="E41" i="31"/>
  <c r="G28" i="31"/>
  <c r="E28" i="31"/>
  <c r="K1" i="32" l="1"/>
  <c r="J42" i="31"/>
  <c r="J43" i="31" s="1"/>
  <c r="H28" i="31"/>
  <c r="F28" i="31"/>
  <c r="H42" i="31"/>
  <c r="H43" i="31" s="1"/>
  <c r="K42" i="31"/>
  <c r="K43" i="31" s="1"/>
  <c r="L42" i="31"/>
  <c r="L43" i="31" s="1"/>
  <c r="I28" i="31"/>
  <c r="G42" i="31"/>
  <c r="G43" i="31" s="1"/>
  <c r="I42" i="31"/>
  <c r="I43" i="31" s="1"/>
  <c r="M42" i="31"/>
  <c r="M43" i="31" s="1"/>
  <c r="L28" i="31"/>
  <c r="G14" i="32" s="1"/>
  <c r="F42" i="31"/>
  <c r="F43" i="31" s="1"/>
  <c r="J28" i="31"/>
  <c r="E14" i="32" s="1"/>
  <c r="M28" i="31"/>
  <c r="H14" i="32" s="1"/>
  <c r="D28" i="31"/>
  <c r="D30" i="31" s="1"/>
  <c r="K28" i="31"/>
  <c r="F14" i="32" s="1"/>
  <c r="C15" i="32" l="1"/>
  <c r="C14" i="32"/>
  <c r="D15" i="32"/>
  <c r="D14" i="32"/>
  <c r="F15" i="32"/>
  <c r="H15" i="32"/>
  <c r="E15" i="32"/>
  <c r="G15" i="32"/>
  <c r="L1" i="32"/>
  <c r="K24" i="32"/>
  <c r="C43" i="31"/>
  <c r="C42" i="31" s="1"/>
  <c r="M18" i="31"/>
  <c r="L18" i="31"/>
  <c r="K18" i="31"/>
  <c r="J18" i="31"/>
  <c r="I18" i="31"/>
  <c r="H18" i="31"/>
  <c r="G18" i="31"/>
  <c r="F18" i="31"/>
  <c r="E18" i="31"/>
  <c r="M17" i="31"/>
  <c r="L17" i="31"/>
  <c r="K17" i="31"/>
  <c r="J17" i="31"/>
  <c r="I17" i="31"/>
  <c r="H17" i="31"/>
  <c r="G17" i="31"/>
  <c r="F17" i="31"/>
  <c r="E17" i="31"/>
  <c r="M15" i="31"/>
  <c r="L15" i="31"/>
  <c r="K15" i="31"/>
  <c r="J15" i="31"/>
  <c r="I15" i="31"/>
  <c r="H15" i="31"/>
  <c r="G15" i="31"/>
  <c r="F15" i="31"/>
  <c r="E15" i="31"/>
  <c r="M14" i="31"/>
  <c r="L14" i="31"/>
  <c r="K14" i="31"/>
  <c r="J14" i="31"/>
  <c r="I14" i="31"/>
  <c r="H14" i="31"/>
  <c r="G14" i="31"/>
  <c r="F14" i="31"/>
  <c r="E14" i="31"/>
  <c r="D18" i="31"/>
  <c r="D17" i="31"/>
  <c r="D15" i="31"/>
  <c r="D14" i="31"/>
  <c r="D16" i="31" s="1"/>
  <c r="D7" i="31"/>
  <c r="D6" i="31"/>
  <c r="M1" i="32" l="1"/>
  <c r="L24" i="32"/>
  <c r="M16" i="31"/>
  <c r="M19" i="31" s="1"/>
  <c r="M8" i="31"/>
  <c r="M10" i="31" s="1"/>
  <c r="L16" i="31"/>
  <c r="L19" i="31" s="1"/>
  <c r="E8" i="31"/>
  <c r="E10" i="31" s="1"/>
  <c r="J16" i="31"/>
  <c r="J19" i="31" s="1"/>
  <c r="J21" i="31" s="1"/>
  <c r="J30" i="31" s="1"/>
  <c r="K16" i="31"/>
  <c r="K19" i="31" s="1"/>
  <c r="K21" i="31" s="1"/>
  <c r="K30" i="31" s="1"/>
  <c r="F16" i="31"/>
  <c r="F19" i="31" s="1"/>
  <c r="F21" i="31" s="1"/>
  <c r="F30" i="31" s="1"/>
  <c r="D8" i="31"/>
  <c r="G16" i="31"/>
  <c r="G19" i="31" s="1"/>
  <c r="G21" i="31" s="1"/>
  <c r="G30" i="31" s="1"/>
  <c r="H16" i="31"/>
  <c r="H19" i="31" s="1"/>
  <c r="H21" i="31" s="1"/>
  <c r="H30" i="31" s="1"/>
  <c r="F8" i="31"/>
  <c r="F10" i="31" s="1"/>
  <c r="E16" i="31"/>
  <c r="E19" i="31" s="1"/>
  <c r="I16" i="31"/>
  <c r="I19" i="31" s="1"/>
  <c r="D19" i="31"/>
  <c r="E34" i="31" s="1"/>
  <c r="G8" i="31"/>
  <c r="G10" i="31" s="1"/>
  <c r="I8" i="31"/>
  <c r="I10" i="31" s="1"/>
  <c r="J8" i="31"/>
  <c r="J10" i="31" s="1"/>
  <c r="K8" i="31"/>
  <c r="K10" i="31" s="1"/>
  <c r="H8" i="31"/>
  <c r="H10" i="31" s="1"/>
  <c r="L8" i="31"/>
  <c r="L10" i="31" s="1"/>
  <c r="L12" i="31" s="1"/>
  <c r="D12" i="31"/>
  <c r="L21" i="31" l="1"/>
  <c r="L30" i="31" s="1"/>
  <c r="I21" i="31"/>
  <c r="I30" i="31" s="1"/>
  <c r="M21" i="31"/>
  <c r="M30" i="31" s="1"/>
  <c r="E21" i="31"/>
  <c r="E30" i="31" s="1"/>
  <c r="N1" i="32"/>
  <c r="M24" i="32"/>
  <c r="L34" i="31"/>
  <c r="F12" i="32"/>
  <c r="K38" i="31"/>
  <c r="E38" i="31"/>
  <c r="I34" i="31"/>
  <c r="C12" i="32"/>
  <c r="H38" i="31"/>
  <c r="H34" i="31"/>
  <c r="G38" i="31"/>
  <c r="G34" i="31"/>
  <c r="F38" i="31"/>
  <c r="K34" i="31"/>
  <c r="E12" i="32"/>
  <c r="J38" i="31"/>
  <c r="H12" i="32"/>
  <c r="M38" i="31"/>
  <c r="E35" i="31"/>
  <c r="M34" i="31"/>
  <c r="G12" i="32"/>
  <c r="L38" i="31"/>
  <c r="J34" i="31"/>
  <c r="I38" i="31"/>
  <c r="D12" i="32"/>
  <c r="F34" i="31"/>
  <c r="J12" i="31"/>
  <c r="H12" i="31"/>
  <c r="K12" i="31"/>
  <c r="G12" i="31"/>
  <c r="I12" i="31"/>
  <c r="M12" i="31"/>
  <c r="F12" i="31"/>
  <c r="E12" i="31"/>
  <c r="H34" i="32" l="1"/>
  <c r="O1" i="32"/>
  <c r="N24" i="32"/>
  <c r="H16" i="32"/>
  <c r="H17" i="32" s="1"/>
  <c r="H22" i="32" s="1"/>
  <c r="H35" i="31"/>
  <c r="C8" i="32"/>
  <c r="E16" i="32"/>
  <c r="E17" i="32" s="1"/>
  <c r="E22" i="32" s="1"/>
  <c r="H36" i="31"/>
  <c r="C9" i="32" s="1"/>
  <c r="H39" i="31"/>
  <c r="C16" i="32"/>
  <c r="C17" i="32" s="1"/>
  <c r="M39" i="31"/>
  <c r="M36" i="31"/>
  <c r="H9" i="32" s="1"/>
  <c r="D8" i="32"/>
  <c r="I35" i="31"/>
  <c r="F35" i="31"/>
  <c r="J39" i="31"/>
  <c r="J36" i="31"/>
  <c r="E9" i="32" s="1"/>
  <c r="D16" i="32"/>
  <c r="D17" i="32" s="1"/>
  <c r="K35" i="31"/>
  <c r="F8" i="32"/>
  <c r="G39" i="31"/>
  <c r="G36" i="31"/>
  <c r="E39" i="31"/>
  <c r="E36" i="31"/>
  <c r="E37" i="31" s="1"/>
  <c r="I36" i="31"/>
  <c r="D9" i="32" s="1"/>
  <c r="I39" i="31"/>
  <c r="K39" i="31"/>
  <c r="K36" i="31"/>
  <c r="F9" i="32" s="1"/>
  <c r="G16" i="32"/>
  <c r="G17" i="32" s="1"/>
  <c r="G22" i="32" s="1"/>
  <c r="E8" i="32"/>
  <c r="J35" i="31"/>
  <c r="F36" i="31"/>
  <c r="F39" i="31"/>
  <c r="L36" i="31"/>
  <c r="G9" i="32" s="1"/>
  <c r="L39" i="31"/>
  <c r="L35" i="31"/>
  <c r="G8" i="32"/>
  <c r="G35" i="31"/>
  <c r="F16" i="32"/>
  <c r="F17" i="32" s="1"/>
  <c r="F22" i="32" s="1"/>
  <c r="M35" i="31"/>
  <c r="H8" i="32"/>
  <c r="P1" i="32" l="1"/>
  <c r="O24" i="32"/>
  <c r="G37" i="31"/>
  <c r="D10" i="32"/>
  <c r="M37" i="31"/>
  <c r="C35" i="31"/>
  <c r="C34" i="31" s="1"/>
  <c r="I37" i="31"/>
  <c r="C39" i="31"/>
  <c r="C38" i="31" s="1"/>
  <c r="E10" i="32"/>
  <c r="J37" i="31"/>
  <c r="F37" i="31"/>
  <c r="G10" i="32"/>
  <c r="F10" i="32"/>
  <c r="H37" i="31"/>
  <c r="K37" i="31"/>
  <c r="C10" i="32"/>
  <c r="L37" i="31"/>
  <c r="H10" i="32"/>
  <c r="Q1" i="32" l="1"/>
  <c r="P24" i="32"/>
  <c r="C36" i="31"/>
  <c r="C37" i="31" s="1"/>
  <c r="R1" i="32" l="1"/>
  <c r="Q24" i="32"/>
  <c r="R24" i="32" l="1"/>
  <c r="C55" i="35" l="1"/>
  <c r="B56" i="35" l="1"/>
  <c r="B57" i="35" l="1"/>
  <c r="B58" i="35" s="1"/>
  <c r="B59" i="35" s="1"/>
  <c r="B60" i="35" s="1"/>
  <c r="B61" i="35" s="1"/>
  <c r="B62" i="35" s="1"/>
  <c r="C56" i="35"/>
  <c r="C57" i="35" l="1"/>
  <c r="C58" i="35" s="1"/>
  <c r="C59" i="35" s="1"/>
  <c r="C60" i="35" s="1"/>
  <c r="C61" i="35" s="1"/>
  <c r="C62" i="35" s="1"/>
  <c r="C63" i="35" s="1"/>
  <c r="G53" i="35" l="1" a="1"/>
  <c r="G53" i="35" l="1"/>
  <c r="P56" i="35"/>
  <c r="P57" i="35" s="1"/>
  <c r="I56" i="35"/>
  <c r="I57" i="35" s="1"/>
  <c r="K56" i="35"/>
  <c r="K57" i="35" s="1"/>
  <c r="Q56" i="35"/>
  <c r="Q57" i="35" s="1"/>
  <c r="J56" i="35"/>
  <c r="J57" i="35" s="1"/>
  <c r="N56" i="35"/>
  <c r="N57" i="35" s="1"/>
  <c r="K3" i="36"/>
  <c r="H56" i="35"/>
  <c r="H57" i="35" s="1"/>
  <c r="M56" i="35"/>
  <c r="M57" i="35" s="1"/>
  <c r="O56" i="35"/>
  <c r="O57" i="35" s="1"/>
  <c r="L56" i="35"/>
  <c r="L57" i="35" s="1"/>
  <c r="T3" i="36"/>
  <c r="S3" i="36"/>
  <c r="Q3" i="36"/>
  <c r="P3" i="36"/>
  <c r="O3" i="36"/>
  <c r="N3" i="36"/>
  <c r="M3" i="36"/>
  <c r="R3" i="36"/>
  <c r="L3" i="36"/>
  <c r="I3" i="32" l="1"/>
  <c r="K3" i="32"/>
  <c r="M6" i="36"/>
  <c r="S6" i="36"/>
  <c r="Q3" i="32"/>
  <c r="L6" i="36"/>
  <c r="J3" i="32"/>
  <c r="R6" i="36"/>
  <c r="P3" i="32"/>
  <c r="N6" i="36"/>
  <c r="L3" i="32"/>
  <c r="O6" i="36"/>
  <c r="M3" i="32"/>
  <c r="P6" i="36"/>
  <c r="N3" i="32"/>
  <c r="Q6" i="36"/>
  <c r="O3" i="32"/>
  <c r="T6" i="36"/>
  <c r="R3" i="32"/>
  <c r="N13" i="36" l="1"/>
  <c r="N27" i="36"/>
  <c r="R13" i="36"/>
  <c r="R27" i="36"/>
  <c r="T13" i="36"/>
  <c r="T27" i="36"/>
  <c r="L13" i="36"/>
  <c r="L27" i="36"/>
  <c r="Q13" i="36"/>
  <c r="Q27" i="36"/>
  <c r="S13" i="36"/>
  <c r="S27" i="36"/>
  <c r="M13" i="36"/>
  <c r="M27" i="36"/>
  <c r="P13" i="36"/>
  <c r="P27" i="36"/>
  <c r="O13" i="36"/>
  <c r="O27" i="36"/>
  <c r="K13" i="36"/>
  <c r="K27" i="36"/>
  <c r="K18" i="36"/>
  <c r="K14" i="36" s="1"/>
  <c r="K19" i="36" s="1"/>
  <c r="I4" i="32"/>
  <c r="S18" i="36" l="1"/>
  <c r="S14" i="36" s="1"/>
  <c r="S19" i="36" s="1"/>
  <c r="Q6" i="32" s="1"/>
  <c r="S28" i="36"/>
  <c r="Q4" i="32"/>
  <c r="S25" i="36"/>
  <c r="S26" i="36" s="1"/>
  <c r="S23" i="36"/>
  <c r="S24" i="36" s="1"/>
  <c r="Q18" i="36"/>
  <c r="Q14" i="36" s="1"/>
  <c r="Q19" i="36" s="1"/>
  <c r="Q23" i="36"/>
  <c r="Q24" i="36" s="1"/>
  <c r="Q28" i="36"/>
  <c r="Q25" i="36"/>
  <c r="Q26" i="36" s="1"/>
  <c r="O4" i="32"/>
  <c r="K24" i="36"/>
  <c r="K25" i="36"/>
  <c r="K26" i="36" s="1"/>
  <c r="K28" i="36"/>
  <c r="L18" i="36"/>
  <c r="L14" i="36" s="1"/>
  <c r="L19" i="36" s="1"/>
  <c r="J4" i="32"/>
  <c r="L25" i="36"/>
  <c r="L26" i="36" s="1"/>
  <c r="L23" i="36"/>
  <c r="L24" i="36" s="1"/>
  <c r="L28" i="36"/>
  <c r="O18" i="36"/>
  <c r="O14" i="36" s="1"/>
  <c r="O19" i="36" s="1"/>
  <c r="O21" i="36" s="1"/>
  <c r="O29" i="36" s="1"/>
  <c r="O25" i="36"/>
  <c r="O26" i="36" s="1"/>
  <c r="M4" i="32"/>
  <c r="O23" i="36"/>
  <c r="O24" i="36" s="1"/>
  <c r="O28" i="36"/>
  <c r="T18" i="36"/>
  <c r="T14" i="36" s="1"/>
  <c r="T19" i="36" s="1"/>
  <c r="R4" i="32"/>
  <c r="T25" i="36"/>
  <c r="T26" i="36" s="1"/>
  <c r="T23" i="36"/>
  <c r="T24" i="36" s="1"/>
  <c r="T28" i="36"/>
  <c r="P18" i="36"/>
  <c r="P14" i="36" s="1"/>
  <c r="P19" i="36" s="1"/>
  <c r="P21" i="36" s="1"/>
  <c r="P29" i="36" s="1"/>
  <c r="P25" i="36"/>
  <c r="P26" i="36" s="1"/>
  <c r="P23" i="36"/>
  <c r="P24" i="36" s="1"/>
  <c r="P28" i="36"/>
  <c r="N4" i="32"/>
  <c r="R18" i="36"/>
  <c r="R14" i="36" s="1"/>
  <c r="R19" i="36" s="1"/>
  <c r="R23" i="36"/>
  <c r="R24" i="36" s="1"/>
  <c r="R28" i="36"/>
  <c r="P4" i="32"/>
  <c r="R25" i="36"/>
  <c r="R26" i="36" s="1"/>
  <c r="M18" i="36"/>
  <c r="M14" i="36" s="1"/>
  <c r="M19" i="36" s="1"/>
  <c r="M21" i="36" s="1"/>
  <c r="M29" i="36" s="1"/>
  <c r="K4" i="32"/>
  <c r="M25" i="36"/>
  <c r="M26" i="36" s="1"/>
  <c r="M23" i="36"/>
  <c r="M24" i="36" s="1"/>
  <c r="M28" i="36"/>
  <c r="N18" i="36"/>
  <c r="N14" i="36" s="1"/>
  <c r="N19" i="36" s="1"/>
  <c r="N21" i="36" s="1"/>
  <c r="N29" i="36" s="1"/>
  <c r="L4" i="32"/>
  <c r="N25" i="36"/>
  <c r="N26" i="36" s="1"/>
  <c r="N23" i="36"/>
  <c r="N24" i="36" s="1"/>
  <c r="N28" i="36"/>
  <c r="K21" i="36"/>
  <c r="K29" i="36" s="1"/>
  <c r="I6" i="32"/>
  <c r="I14" i="32" s="1"/>
  <c r="I8" i="32" s="1"/>
  <c r="I30" i="32" s="1"/>
  <c r="I10" i="32" l="1"/>
  <c r="I15" i="32"/>
  <c r="I16" i="32" s="1"/>
  <c r="I17" i="32" s="1"/>
  <c r="S21" i="36"/>
  <c r="S29" i="36" s="1"/>
  <c r="K6" i="32"/>
  <c r="K14" i="32" s="1"/>
  <c r="N6" i="32"/>
  <c r="N14" i="32" s="1"/>
  <c r="M6" i="32"/>
  <c r="M14" i="32" s="1"/>
  <c r="L21" i="36"/>
  <c r="L29" i="36" s="1"/>
  <c r="J6" i="32"/>
  <c r="J14" i="32" s="1"/>
  <c r="R6" i="32"/>
  <c r="R14" i="32" s="1"/>
  <c r="T21" i="36"/>
  <c r="T29" i="36" s="1"/>
  <c r="R21" i="36"/>
  <c r="R29" i="36" s="1"/>
  <c r="P6" i="32"/>
  <c r="P14" i="32" s="1"/>
  <c r="Q21" i="36"/>
  <c r="Q29" i="36" s="1"/>
  <c r="O6" i="32"/>
  <c r="O14" i="32" s="1"/>
  <c r="Q14" i="32"/>
  <c r="L6" i="32"/>
  <c r="L14" i="32" s="1"/>
  <c r="I22" i="32" l="1"/>
  <c r="I12" i="32"/>
  <c r="J8" i="32" s="1"/>
  <c r="J10" i="32" s="1"/>
  <c r="I34" i="32" l="1"/>
  <c r="J30" i="32"/>
  <c r="J15" i="32"/>
  <c r="J16" i="32" l="1"/>
  <c r="J12" i="32" s="1"/>
  <c r="K8" i="32" s="1"/>
  <c r="K10" i="32" s="1"/>
  <c r="J17" i="32" l="1"/>
  <c r="J22" i="32" s="1"/>
  <c r="J34" i="32"/>
  <c r="K30" i="32"/>
  <c r="K15" i="32"/>
  <c r="K16" i="32" l="1"/>
  <c r="K12" i="32" s="1"/>
  <c r="L8" i="32" s="1"/>
  <c r="L10" i="32" s="1"/>
  <c r="K17" i="32" l="1"/>
  <c r="K22" i="32" s="1"/>
  <c r="L15" i="32"/>
  <c r="K34" i="32"/>
  <c r="L30" i="32"/>
  <c r="L16" i="32" l="1"/>
  <c r="L12" i="32" s="1"/>
  <c r="M8" i="32" s="1"/>
  <c r="M10" i="32" s="1"/>
  <c r="L17" i="32" l="1"/>
  <c r="L22" i="32" s="1"/>
  <c r="L34" i="32"/>
  <c r="M15" i="32"/>
  <c r="M16" i="32" s="1"/>
  <c r="M30" i="32"/>
  <c r="M12" i="32" l="1"/>
  <c r="N8" i="32" s="1"/>
  <c r="N10" i="32" s="1"/>
  <c r="M17" i="32" l="1"/>
  <c r="M22" i="32" s="1"/>
  <c r="M34" i="32"/>
  <c r="N30" i="32"/>
  <c r="N15" i="32"/>
  <c r="N16" i="32" l="1"/>
  <c r="N12" i="32" s="1"/>
  <c r="O8" i="32" s="1"/>
  <c r="O10" i="32" s="1"/>
  <c r="N17" i="32" l="1"/>
  <c r="N22" i="32" s="1"/>
  <c r="N34" i="32"/>
  <c r="O15" i="32"/>
  <c r="O30" i="32"/>
  <c r="O16" i="32" l="1"/>
  <c r="O12" i="32" s="1"/>
  <c r="P8" i="32" s="1"/>
  <c r="P10" i="32" s="1"/>
  <c r="O17" i="32" l="1"/>
  <c r="O22" i="32" s="1"/>
  <c r="O34" i="32"/>
  <c r="P30" i="32"/>
  <c r="P15" i="32"/>
  <c r="P16" i="32" l="1"/>
  <c r="P12" i="32" s="1"/>
  <c r="Q8" i="32" s="1"/>
  <c r="Q10" i="32" s="1"/>
  <c r="P17" i="32" l="1"/>
  <c r="P22" i="32" s="1"/>
  <c r="Q30" i="32"/>
  <c r="P34" i="32"/>
  <c r="Q15" i="32"/>
  <c r="Q16" i="32" l="1"/>
  <c r="Q12" i="32" s="1"/>
  <c r="R8" i="32" l="1"/>
  <c r="R10" i="32" s="1"/>
  <c r="R30" i="32"/>
  <c r="R31" i="32" s="1"/>
  <c r="Q17" i="32"/>
  <c r="Q22" i="32" s="1"/>
  <c r="Q34" i="32"/>
  <c r="R15" i="32"/>
  <c r="R16" i="32" l="1"/>
  <c r="R12" i="32" s="1"/>
  <c r="R34" i="32" s="1"/>
  <c r="R33" i="32"/>
  <c r="R35" i="32" s="1"/>
  <c r="M33" i="32" l="1"/>
  <c r="M35" i="32" s="1"/>
  <c r="N33" i="32"/>
  <c r="N35" i="32" s="1"/>
  <c r="O33" i="32"/>
  <c r="O35" i="32" s="1"/>
  <c r="P33" i="32"/>
  <c r="P35" i="32" s="1"/>
  <c r="J33" i="32"/>
  <c r="J35" i="32" s="1"/>
  <c r="I33" i="32"/>
  <c r="I35" i="32" s="1"/>
  <c r="H37" i="32" s="1"/>
  <c r="H39" i="32" s="1"/>
  <c r="H41" i="32" s="1"/>
  <c r="H33" i="32"/>
  <c r="H35" i="32" s="1"/>
  <c r="K33" i="32"/>
  <c r="K35" i="32" s="1"/>
  <c r="Q33" i="32"/>
  <c r="Q35" i="32" s="1"/>
  <c r="R17" i="32"/>
  <c r="L33" i="32"/>
  <c r="L35" i="32" s="1"/>
  <c r="R21" i="32" l="1"/>
  <c r="R26" i="32" s="1"/>
  <c r="R22" i="32" l="1"/>
  <c r="Q26" i="32"/>
  <c r="J26" i="32"/>
  <c r="I26" i="32"/>
  <c r="P26" i="32"/>
  <c r="O26" i="32"/>
  <c r="N26" i="32"/>
  <c r="M26" i="32"/>
  <c r="L26" i="32"/>
  <c r="H26" i="32"/>
  <c r="K26" i="32"/>
  <c r="K27" i="32" l="1"/>
  <c r="M27" i="32"/>
  <c r="L27" i="32"/>
  <c r="N27" i="32"/>
  <c r="O27" i="32"/>
  <c r="P27" i="32"/>
  <c r="I27" i="32"/>
  <c r="J27" i="32"/>
  <c r="Q27" i="32"/>
  <c r="R27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tc={EE81A2DA-3746-48E0-8C3C-C618B1703384}</author>
  </authors>
  <commentList>
    <comment ref="B21" authorId="0" shapeId="0" xr:uid="{EE81A2DA-3746-48E0-8C3C-C618B17033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Visão da empresa:
Valores negativos: Entrou investimento - Teve gasto de dinheiro - Saindo caixa
Valores positivos: Saiu investimento - Salvou dinheiro - Entrou/não gastou caixa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<sst xmlns="http://schemas.openxmlformats.org/spreadsheetml/2006/main" count="3096" uniqueCount="1079">
  <si>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</si>
  <si>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</si>
  <si>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</si>
  <si>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</si>
  <si>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</si>
  <si>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</si>
  <si>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</si>
  <si>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</si>
  <si>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</si>
  <si>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Término de 12 meses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</si>
  <si>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</si>
  <si>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</si>
  <si>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</si>
  <si>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</si>
  <si>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</si>
  <si>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</si>
  <si>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</si>
  <si>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</si>
  <si>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</si>
  <si>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Capitalização de mercado</t>
  </si>
  <si>
    <t>SALES_REV_TURN</t>
  </si>
  <si>
    <t>GROSS_PROFIT</t>
  </si>
  <si>
    <t>EBITDA</t>
  </si>
  <si>
    <t>—</t>
  </si>
  <si>
    <t>EARN_FOR_COMMON</t>
  </si>
  <si>
    <t>IS_DIL_EPS_CONT_OPS</t>
  </si>
  <si>
    <t>CF_CASH_FROM_OPER</t>
  </si>
  <si>
    <t>Fluxo de caixa livre</t>
  </si>
  <si>
    <t>CF_FREE_CASH_FLOW</t>
  </si>
  <si>
    <t>Fonte: Bloomberg</t>
  </si>
  <si>
    <t>Clique botão direito p/exibir a transp de dados (não suportado p/tds valores)</t>
  </si>
  <si>
    <t>Em Milhões de BRL exceto Por ação</t>
  </si>
  <si>
    <t>FY 2015</t>
  </si>
  <si>
    <t>12/31/2015</t>
  </si>
  <si>
    <t>IS_OPER_INC</t>
  </si>
  <si>
    <t>IS_EPS</t>
  </si>
  <si>
    <t>IS_DILUTED_EPS</t>
  </si>
  <si>
    <t>IS_AVG_NUM_SH_FOR_EPS</t>
  </si>
  <si>
    <t>IS_SH_FOR_DILUTED_EPS</t>
  </si>
  <si>
    <t>Ativo circulante</t>
  </si>
  <si>
    <t>BS_CUR_ASSET_REPORT</t>
  </si>
  <si>
    <t>Ativo total</t>
  </si>
  <si>
    <t>BS_TOT_ASSET</t>
  </si>
  <si>
    <t>Passivo circulante</t>
  </si>
  <si>
    <t>BS_CUR_LIAB</t>
  </si>
  <si>
    <t>BS_TOT_LIAB2</t>
  </si>
  <si>
    <t>TOTAL_EQUITY</t>
  </si>
  <si>
    <t>BS_SH_OUT</t>
  </si>
  <si>
    <t>CF_CASH_FROM_INV_ACT</t>
  </si>
  <si>
    <t>Receita</t>
  </si>
  <si>
    <t>EBIT</t>
  </si>
  <si>
    <t>GROSS_MARGIN</t>
  </si>
  <si>
    <t>PRETAX_INC</t>
  </si>
  <si>
    <t>PFD_EQTY_HYBRID_CAPITAL</t>
  </si>
  <si>
    <t>MINORITY_NONCONTROLLING_INTEREST</t>
  </si>
  <si>
    <t>Itens de referência</t>
  </si>
  <si>
    <t>PX_TO_FREE_CASH_FLOW</t>
  </si>
  <si>
    <t>Últ 12M</t>
  </si>
  <si>
    <t>Méd pond de ações diluídas</t>
  </si>
  <si>
    <t>Méd pond de ações básicas</t>
  </si>
  <si>
    <t>IS_EARN_BEF_XO_ITEMS_PER_SH</t>
  </si>
  <si>
    <t>IS_BASIC_EPS_CONT_OPS</t>
  </si>
  <si>
    <t>IS_DIL_EPS_BEF_XO</t>
  </si>
  <si>
    <t>EQY_DPS</t>
  </si>
  <si>
    <t>FREE_CASH_FLOW_PER_SH</t>
  </si>
  <si>
    <t xml:space="preserve"> (AFLT3 BZ) - Ajustado</t>
  </si>
  <si>
    <t xml:space="preserve">    + Receita de vendas e serviços</t>
  </si>
  <si>
    <t>IS_SALES_AND_SERVICES_REVENUES</t>
  </si>
  <si>
    <t xml:space="preserve">  - Custo da receita</t>
  </si>
  <si>
    <t>IS_COGS_TO_FE_AND_PP_AND_G</t>
  </si>
  <si>
    <t xml:space="preserve">    + Custo de bens e serviços</t>
  </si>
  <si>
    <t>IS_COG_AND_SERVICES_SOLD</t>
  </si>
  <si>
    <t xml:space="preserve">    + Depreciação e amortização:</t>
  </si>
  <si>
    <t>IS_DA_COST_OF_REVENUE_GAAP</t>
  </si>
  <si>
    <t>Lucro bruto</t>
  </si>
  <si>
    <t xml:space="preserve">  + Outros lucros operacionais</t>
  </si>
  <si>
    <t>IS_OTHER_OPER_INC</t>
  </si>
  <si>
    <t xml:space="preserve">  - Despesas operacionais</t>
  </si>
  <si>
    <t>IS_OPERATING_EXPN</t>
  </si>
  <si>
    <t xml:space="preserve">    + Vendas, geral e admin</t>
  </si>
  <si>
    <t>IS_SGA_EXPENSE</t>
  </si>
  <si>
    <t xml:space="preserve">    + Venda e marketing</t>
  </si>
  <si>
    <t>IS_SELLING_EXPENSES</t>
  </si>
  <si>
    <t xml:space="preserve">    + Geral e administrativas</t>
  </si>
  <si>
    <t>IS_GENERAL_AND_ADMINISTRATIVE</t>
  </si>
  <si>
    <t xml:space="preserve">    + Pesquisa e desenvolvimento</t>
  </si>
  <si>
    <t>IS_OPERATING_EXPENSES_RD</t>
  </si>
  <si>
    <t>IS_DEPRECIATION_AND_AMORTIZATION</t>
  </si>
  <si>
    <t xml:space="preserve">    + Outras desp operacionais</t>
  </si>
  <si>
    <t>IS_OTHER_OPERATING_EXPENSES</t>
  </si>
  <si>
    <t>Lucro (Prejuízo) operacional</t>
  </si>
  <si>
    <t xml:space="preserve">  - Perdas (lucros) não operacionais</t>
  </si>
  <si>
    <t>IS_NONOP_INCOME_LOSS</t>
  </si>
  <si>
    <t xml:space="preserve">    + Despesa de juros, líq</t>
  </si>
  <si>
    <t>IS_NET_INTEREST_EXPENSE</t>
  </si>
  <si>
    <t xml:space="preserve">    + Despesa com juros</t>
  </si>
  <si>
    <t>IS_INT_EXPENSE</t>
  </si>
  <si>
    <t xml:space="preserve">    - Lucro com juros</t>
  </si>
  <si>
    <t>IS_INT_INC</t>
  </si>
  <si>
    <t xml:space="preserve">    + Prejuízo (Lucro) câmbio</t>
  </si>
  <si>
    <t>IS_FOREIGN_EXCH_LOSS</t>
  </si>
  <si>
    <t xml:space="preserve">    + Perda (Lucro) de afiliados</t>
  </si>
  <si>
    <t>INCOME_LOSS_FROM_AFFILIATES</t>
  </si>
  <si>
    <t xml:space="preserve">    + Outros Prejuízos (Lucros) não op</t>
  </si>
  <si>
    <t>IS_OTHER_NON_OPERATING_INC_LOSS</t>
  </si>
  <si>
    <t>Lucro (Prejuízo) antes de impostos, ajustado</t>
  </si>
  <si>
    <t xml:space="preserve">  - Lucros(Prejuízos) extraordinários</t>
  </si>
  <si>
    <t>IS_ABNORMAL_ITEM</t>
  </si>
  <si>
    <t>Lucro (Prejuízo) líquido antes de impostos, GAAP</t>
  </si>
  <si>
    <t xml:space="preserve">  - Desp c/imposto renda (Benefício)</t>
  </si>
  <si>
    <t>IS_INC_TAX_EXP</t>
  </si>
  <si>
    <t xml:space="preserve">    + Imposto de renda atual</t>
  </si>
  <si>
    <t>IS_CURRENT_INCOME_TAX_BENEFIT</t>
  </si>
  <si>
    <t xml:space="preserve">    + Imposto de renda diferido</t>
  </si>
  <si>
    <t>IS_DEFERRED_INCOME_TAX_BENEFIT</t>
  </si>
  <si>
    <t>Lucro (Prejuízo) de op cont</t>
  </si>
  <si>
    <t>IS_INC_BEF_XO_ITEM</t>
  </si>
  <si>
    <t xml:space="preserve">  - Perdas (ganhos) extraordinários líquidos</t>
  </si>
  <si>
    <t>XO_GL_NET_OF_TAX</t>
  </si>
  <si>
    <t xml:space="preserve">    + Operações descontinuadas</t>
  </si>
  <si>
    <t>IS_DISCONTINUED_OPERATIONS</t>
  </si>
  <si>
    <t xml:space="preserve">    + Itens ext e mudanças contábeis</t>
  </si>
  <si>
    <t>EXTRAORD_ITEMS_ACCOUNTING_CHANGS</t>
  </si>
  <si>
    <t>Lucro (Prejuízo) inc MI</t>
  </si>
  <si>
    <t>NI_INCLUDING_MINORITY_INT_RATIO</t>
  </si>
  <si>
    <t xml:space="preserve">  - Part minoritária</t>
  </si>
  <si>
    <t>MIN_NONCONTROL_INTEREST_CREDITS</t>
  </si>
  <si>
    <t>Lucro líquido, GAAP</t>
  </si>
  <si>
    <t>NET_INCOME</t>
  </si>
  <si>
    <t xml:space="preserve">  - Dividendos em preferred</t>
  </si>
  <si>
    <t>IS_TOT_CASH_PFD_DVD</t>
  </si>
  <si>
    <t xml:space="preserve">  - Outros ajustes</t>
  </si>
  <si>
    <t>OTHER_ADJUSTMENTS</t>
  </si>
  <si>
    <t>Lucro líquido disp a ações ordinárias, GAAP</t>
  </si>
  <si>
    <t>Lucro líquido disp aos acionistas, ajst</t>
  </si>
  <si>
    <t xml:space="preserve">  Perdas (ganhos) líquidos extraordinários</t>
  </si>
  <si>
    <t>IS_NET_ABNORMAL_ITEMS</t>
  </si>
  <si>
    <t xml:space="preserve">  Perdas (ganhos) extraordinários líquidos</t>
  </si>
  <si>
    <t>LPA básico, GAAP</t>
  </si>
  <si>
    <t>LPA básico de op cont, GAAP</t>
  </si>
  <si>
    <t>LPA básico op cont, ajustado</t>
  </si>
  <si>
    <t>LPA diluído, GAAP</t>
  </si>
  <si>
    <t>LPA diluído de op cont, GAAP</t>
  </si>
  <si>
    <t>Lucro por ação diluído de op cont, ajustado</t>
  </si>
  <si>
    <t>Normas contábeis</t>
  </si>
  <si>
    <t>ACCOUNTING_STANDARD</t>
  </si>
  <si>
    <t>IAS/IFRS</t>
  </si>
  <si>
    <t>Margem EBITDA (Últ12M)</t>
  </si>
  <si>
    <t>EBITDA_MARGIN</t>
  </si>
  <si>
    <t>EBITA</t>
  </si>
  <si>
    <t>Margem bruta</t>
  </si>
  <si>
    <t>Margem operacional</t>
  </si>
  <si>
    <t>OPER_MARGIN</t>
  </si>
  <si>
    <t>Margem de lucro</t>
  </si>
  <si>
    <t>PROF_MARGIN</t>
  </si>
  <si>
    <t>Dividendos por ação</t>
  </si>
  <si>
    <t>Dividendos pagos em caixa</t>
  </si>
  <si>
    <t>IS_TOT_CASH_COM_DVD</t>
  </si>
  <si>
    <t>Despesas com pessoal</t>
  </si>
  <si>
    <t>IS_PERSONNEL_EXP</t>
  </si>
  <si>
    <t>Despesas depreciação</t>
  </si>
  <si>
    <t>IS_DEPR_EXP</t>
  </si>
  <si>
    <t>Outros lucros operacionais</t>
  </si>
  <si>
    <t>Depreciação e amortização</t>
  </si>
  <si>
    <t>Lucro com juros</t>
  </si>
  <si>
    <t xml:space="preserve"> (AFLT3 BZ) - Padronizado</t>
  </si>
  <si>
    <t xml:space="preserve">  + Caixa, equivalentes a caixa e STI</t>
  </si>
  <si>
    <t>CASH_CASH_EQTY_STI_DETAILED</t>
  </si>
  <si>
    <t xml:space="preserve">    + Caixa e bancos</t>
  </si>
  <si>
    <t>BS_CASH_NEAR_CASH_ITEM</t>
  </si>
  <si>
    <t xml:space="preserve">    + Investimentos CP</t>
  </si>
  <si>
    <t>BS_MKT_SEC_OTHER_ST_INVEST</t>
  </si>
  <si>
    <t xml:space="preserve">  + Accounts &amp; Notes Receiv</t>
  </si>
  <si>
    <t>BS_ACCT_NOTE_RCV</t>
  </si>
  <si>
    <t xml:space="preserve">    + Contas a receber, líquido</t>
  </si>
  <si>
    <t>BS_ACCTS_REC_EXCL_NOTES_REC</t>
  </si>
  <si>
    <t xml:space="preserve">    + Notas a receber, líq</t>
  </si>
  <si>
    <t>NOTES_RECEIVABLE</t>
  </si>
  <si>
    <t xml:space="preserve">  + Estoques</t>
  </si>
  <si>
    <t>BS_INVENTORIES</t>
  </si>
  <si>
    <t xml:space="preserve">    + Matéria prima</t>
  </si>
  <si>
    <t>INVTRY_RAW_MATERIALS</t>
  </si>
  <si>
    <t xml:space="preserve">    + Trabalhos em processo</t>
  </si>
  <si>
    <t>INVTRY_IN_PROGRESS</t>
  </si>
  <si>
    <t xml:space="preserve">    + Prods acabados</t>
  </si>
  <si>
    <t>INVTRY_FINISHED_GOODS</t>
  </si>
  <si>
    <t xml:space="preserve">    + Outros estoques</t>
  </si>
  <si>
    <t>BS_OTHER_INV</t>
  </si>
  <si>
    <t xml:space="preserve">  + Outros ativos CP</t>
  </si>
  <si>
    <t>OTHER_CURRENT_ASSETS_DETAILED</t>
  </si>
  <si>
    <t xml:space="preserve">    + Desp paGás antecipadamente</t>
  </si>
  <si>
    <t>BS_PREPAY</t>
  </si>
  <si>
    <t xml:space="preserve">    + Derivativos e ativos de hedging</t>
  </si>
  <si>
    <t>BS_DERIV_HEDGING_ASST_ST</t>
  </si>
  <si>
    <t xml:space="preserve">    + Impostos a receber</t>
  </si>
  <si>
    <t>BS_TAXES_RECEIVABLE_SHORT_TERM</t>
  </si>
  <si>
    <t xml:space="preserve">    + Ativos CP div</t>
  </si>
  <si>
    <t>BS_OTHER_CUR_ASSET_LESS_PREPAY</t>
  </si>
  <si>
    <t xml:space="preserve">  + Property, Plant &amp; Equip, Net</t>
  </si>
  <si>
    <t>BS_NET_FIX_ASSET</t>
  </si>
  <si>
    <t xml:space="preserve">  + Investimentos LP e recebíveis</t>
  </si>
  <si>
    <t>BS_LT_INVEST</t>
  </si>
  <si>
    <t xml:space="preserve">    + Ativos negociáveis LP</t>
  </si>
  <si>
    <t>BS_LT_MARKETABLE_SECURITIES</t>
  </si>
  <si>
    <t xml:space="preserve">  + Outros ativos LP</t>
  </si>
  <si>
    <t>BS_OTHER_ASSETS_DEF_CHRG_OTHER</t>
  </si>
  <si>
    <t xml:space="preserve">    + Total de ativos intangíveis</t>
  </si>
  <si>
    <t>BS_DISCLOSED_INTANGIBLES</t>
  </si>
  <si>
    <t xml:space="preserve">    + Goodwill</t>
  </si>
  <si>
    <t>BS_GOODWILL</t>
  </si>
  <si>
    <t xml:space="preserve">    + Outros ativos intangíveis</t>
  </si>
  <si>
    <t>OTHER_INTANGIBLE_ASSETS_DETAILED</t>
  </si>
  <si>
    <t>BS_DERIV_HEDGING_ASST_LT</t>
  </si>
  <si>
    <t xml:space="preserve">    + Investimentos em afiliadas</t>
  </si>
  <si>
    <t>BS_INVEST_IN_ASSOC_CO</t>
  </si>
  <si>
    <t xml:space="preserve">    + Ativos LP div</t>
  </si>
  <si>
    <t>OTHER_NONCURRENT_ASSETS_DETAILED</t>
  </si>
  <si>
    <t>Total Noncurrent Assets</t>
  </si>
  <si>
    <t>BS_TOT_NON_CUR_ASSET</t>
  </si>
  <si>
    <t>Passivo e patrimônio líquido</t>
  </si>
  <si>
    <t xml:space="preserve">  + A pagar e acúmulos</t>
  </si>
  <si>
    <t>ACCT_PAYABLE_ACCRUALS_DETAILED</t>
  </si>
  <si>
    <t xml:space="preserve">    + Contas a pagar</t>
  </si>
  <si>
    <t>BS_ACCT_PAYABLE</t>
  </si>
  <si>
    <t xml:space="preserve">    + Impostos acumulados</t>
  </si>
  <si>
    <t>BS_TAXES_PAYABLE</t>
  </si>
  <si>
    <t xml:space="preserve">    + Juros e dividendos a pagar</t>
  </si>
  <si>
    <t>INTEREST_DIVIDENDS_PAYABLE</t>
  </si>
  <si>
    <t xml:space="preserve">    + Outros a pagar e acúmulos</t>
  </si>
  <si>
    <t>BS_ACCRUAL</t>
  </si>
  <si>
    <t xml:space="preserve">  + Dívida CP</t>
  </si>
  <si>
    <t>BS_ST_BORROW</t>
  </si>
  <si>
    <t xml:space="preserve">    + Tomada de empréstimos CP</t>
  </si>
  <si>
    <t>SHORT_TERM_DEBT_DETAILED</t>
  </si>
  <si>
    <t xml:space="preserve">    + Passivos de lease CP</t>
  </si>
  <si>
    <t>ST_CAPITALIZED_LEASE_LIABILITIES</t>
  </si>
  <si>
    <t xml:space="preserve">      + Leases financeiros CP</t>
  </si>
  <si>
    <t>ST_CAPITAL_LEASE_OBLIGATIONS</t>
  </si>
  <si>
    <t xml:space="preserve">  + Outros passivos de curto prazo</t>
  </si>
  <si>
    <t>OTHER_CURRENT_LIABS_SUB_DETAILED</t>
  </si>
  <si>
    <t xml:space="preserve">    + Deferred Revenue</t>
  </si>
  <si>
    <t>ST_DEFERRED_REVENUE</t>
  </si>
  <si>
    <t xml:space="preserve">    + Derivativos e hedging</t>
  </si>
  <si>
    <t>BS_DERIV_HEDGING_LIAB_ST</t>
  </si>
  <si>
    <t xml:space="preserve">    + Passivos CP div</t>
  </si>
  <si>
    <t>OTHER_CURRENT_LIABS_DETAILED</t>
  </si>
  <si>
    <t xml:space="preserve">  + Dívida LP</t>
  </si>
  <si>
    <t>BS_LT_BORROW</t>
  </si>
  <si>
    <t xml:space="preserve">    + Empréstimos LP</t>
  </si>
  <si>
    <t>LONG_TERM_BORROWINGS_DETAILED</t>
  </si>
  <si>
    <t xml:space="preserve">    + Passivos de lease LP</t>
  </si>
  <si>
    <t>LT_CAPITALIZED_LEASE_LIABILITIES</t>
  </si>
  <si>
    <t xml:space="preserve">      + Leases financeiros LP</t>
  </si>
  <si>
    <t>LT_CAPITAL_LEASE_OBLIGATIONS</t>
  </si>
  <si>
    <t xml:space="preserve">  + Outros passivos LP</t>
  </si>
  <si>
    <t>OTHER_NONCUR_LIABS_SUB_DETAILED</t>
  </si>
  <si>
    <t xml:space="preserve">    + Passivos acumulados</t>
  </si>
  <si>
    <t>BS_ACCRUED_LIABILITIES</t>
  </si>
  <si>
    <t>LT_DEFERRED_REVENUE</t>
  </si>
  <si>
    <t xml:space="preserve">    + Passivo de imposto diferido</t>
  </si>
  <si>
    <t>BS_DEFERRED_TAX_LIABILITIES_LT</t>
  </si>
  <si>
    <t>BS_DERIV_HEDGING_LIAB_LT</t>
  </si>
  <si>
    <t xml:space="preserve">    + Passivos LP div</t>
  </si>
  <si>
    <t>OTHER_NONCURRENT_LIABS_DETAILED</t>
  </si>
  <si>
    <t>Total passivo não-circulante</t>
  </si>
  <si>
    <t>NON_CUR_LIAB</t>
  </si>
  <si>
    <t>Passivos totais</t>
  </si>
  <si>
    <t xml:space="preserve">  + Ações em preferreds e capital híbrido</t>
  </si>
  <si>
    <t xml:space="preserve">  + Capital social e APIC</t>
  </si>
  <si>
    <t>BS_SH_CAP_AND_APIC</t>
  </si>
  <si>
    <t xml:space="preserve">    + Ação ordinária</t>
  </si>
  <si>
    <t>BS_COMMON_STOCK</t>
  </si>
  <si>
    <t xml:space="preserve">  - Ações do Tesouro</t>
  </si>
  <si>
    <t>BS_AMT_OF_TSY_STOCK</t>
  </si>
  <si>
    <t xml:space="preserve">  + Lucros retidos</t>
  </si>
  <si>
    <t>BS_PURE_RETAINED_EARNINGS</t>
  </si>
  <si>
    <t xml:space="preserve">  + Outros ativos</t>
  </si>
  <si>
    <t>OTHER_EQUITY_RATIO</t>
  </si>
  <si>
    <t>Ações antes de participação minoritária</t>
  </si>
  <si>
    <t>EQTY_BEF_MINORITY_INT_DETAILED</t>
  </si>
  <si>
    <t xml:space="preserve">  + Minoridade/juros não controlados</t>
  </si>
  <si>
    <t>Patrimônio</t>
  </si>
  <si>
    <t>Passivo total e patrimônio</t>
  </si>
  <si>
    <t>TOT_LIAB_AND_EQY</t>
  </si>
  <si>
    <t>Ações em circulação</t>
  </si>
  <si>
    <t>Número de ações do Tesouro</t>
  </si>
  <si>
    <t>BS_NUM_OF_TSY_SH</t>
  </si>
  <si>
    <t>Orbigações de pensões</t>
  </si>
  <si>
    <t>BS_PENSION_RSRV</t>
  </si>
  <si>
    <t>Obrigações de leasing operacional mínimo futuro</t>
  </si>
  <si>
    <t>BS_FUTURE_MIN_OPER_LEASE_OBLIG</t>
  </si>
  <si>
    <t>Arrendamento capital - Total</t>
  </si>
  <si>
    <t>BS_TOTAL_CAPITAL_LEASES</t>
  </si>
  <si>
    <t>Opções concedidas durante o período</t>
  </si>
  <si>
    <t>BS_OPTIONS_GRANTED</t>
  </si>
  <si>
    <t>Opções em aberto no fim do período</t>
  </si>
  <si>
    <t>BS_OPTIONS_OUTSTANDING</t>
  </si>
  <si>
    <t>Dívida líquida</t>
  </si>
  <si>
    <t>NET_DEBT</t>
  </si>
  <si>
    <t>Dívida líq/Ação</t>
  </si>
  <si>
    <t>NET_DEBT_TO_SHRHLDR_EQTY</t>
  </si>
  <si>
    <t>Ratio capital ordinário tangível</t>
  </si>
  <si>
    <t>TCE_RATIO</t>
  </si>
  <si>
    <t>Ratio de circulante</t>
  </si>
  <si>
    <t>CUR_RATIO</t>
  </si>
  <si>
    <t>Ciclo de conversão de caixa</t>
  </si>
  <si>
    <t>CASH_CONVERSION_CYCLE</t>
  </si>
  <si>
    <t>Dívida LP</t>
  </si>
  <si>
    <t>Caixa de atividades operacionais</t>
  </si>
  <si>
    <t xml:space="preserve">  + Lucro líquido</t>
  </si>
  <si>
    <t>CF_NET_INC</t>
  </si>
  <si>
    <t xml:space="preserve">  + Depreciação e amortização:</t>
  </si>
  <si>
    <t>CF_DEPR_AMORT</t>
  </si>
  <si>
    <t xml:space="preserve">  + Itens não em dinheiro</t>
  </si>
  <si>
    <t>NON_CASH_ITEMS_DETAILED</t>
  </si>
  <si>
    <t xml:space="preserve">    + Outros ajustes não caixa</t>
  </si>
  <si>
    <t>OTHER_NON_CASH_ADJ_LESS_DETAILED</t>
  </si>
  <si>
    <t xml:space="preserve">  + Var capital de giro não em caixa</t>
  </si>
  <si>
    <t>CF_CHNG_NON_CASH_WORK_CAP</t>
  </si>
  <si>
    <t xml:space="preserve">    + Aum (red) em contas a rec</t>
  </si>
  <si>
    <t>CF_ACCT_RCV_UNBILLED_REV</t>
  </si>
  <si>
    <t xml:space="preserve">    + Aum (red) em contas a pg</t>
  </si>
  <si>
    <t>CF_CHANGE_IN_ACCOUNTS_PAYABLE</t>
  </si>
  <si>
    <t xml:space="preserve">    + Aum (red) em outros</t>
  </si>
  <si>
    <t>INC_DEC_IN_OT_OP_AST_LIAB_DETAIL</t>
  </si>
  <si>
    <t xml:space="preserve">  + Caixa líquido de op desc</t>
  </si>
  <si>
    <t>CF_NET_CASH_DISCONT_OPS_OPER</t>
  </si>
  <si>
    <t>Cash de atividades de investimentos</t>
  </si>
  <si>
    <t xml:space="preserve">  + Mudança em fixos e intangíveis</t>
  </si>
  <si>
    <t>FIXED_INTANG_ASST_CHANGE</t>
  </si>
  <si>
    <t xml:space="preserve">    + Vnd de fixos e intang</t>
  </si>
  <si>
    <t>DISPOSAL_OF_FIXED_INTANG</t>
  </si>
  <si>
    <t xml:space="preserve">    + Redução de ativos imobilizados</t>
  </si>
  <si>
    <t>CF_DISPOSAL_OF_FIXED_PROD_ASSETS</t>
  </si>
  <si>
    <t xml:space="preserve">    + Venda de ativos intangíveis</t>
  </si>
  <si>
    <t>CF_DISPOSAL_OF_INTANGIBLE_ASSETS</t>
  </si>
  <si>
    <t xml:space="preserve">    + Aquis de fixos e intang</t>
  </si>
  <si>
    <t>ACQUIS_OF_FIXED_INTANG</t>
  </si>
  <si>
    <t xml:space="preserve">    + Aquisição de ativos imobilizados</t>
  </si>
  <si>
    <t>CF_PURCHASE_OF_FIXED_PROD_ASSETS</t>
  </si>
  <si>
    <t xml:space="preserve">    + Aquis de ativos intangíveis</t>
  </si>
  <si>
    <t>CF_ACQUISITION_OF_INTANG_ASSETS</t>
  </si>
  <si>
    <t xml:space="preserve">  + Var líq em investimentos LP</t>
  </si>
  <si>
    <t>NET_CHG_IN_LT_INVEST_DETAILED</t>
  </si>
  <si>
    <t xml:space="preserve">    + Red em investimento LP</t>
  </si>
  <si>
    <t>CF_DECR_INVEST</t>
  </si>
  <si>
    <t xml:space="preserve">    + Aum em investimento LP</t>
  </si>
  <si>
    <t>CF_INCR_INVEST</t>
  </si>
  <si>
    <t xml:space="preserve">  + Caixa líquido da aquis e div</t>
  </si>
  <si>
    <t>CF_NT_CSH_RCVD_PD_FOR_ACQUIS_DIV</t>
  </si>
  <si>
    <t xml:space="preserve">    + Caixa de alienações</t>
  </si>
  <si>
    <t>CF_CASH_FOR_DIVESTITURES</t>
  </si>
  <si>
    <t xml:space="preserve">    + Caixa da aquis de subs</t>
  </si>
  <si>
    <t>CF_CASH_FOR_ACQUIS_SUBSIDIARIES</t>
  </si>
  <si>
    <t xml:space="preserve">    + Caixa de JVs</t>
  </si>
  <si>
    <t>CF_CASH_FOR_JOINT_VENTURES_ASSOC</t>
  </si>
  <si>
    <t xml:space="preserve">  + Outras atividades de investimentos</t>
  </si>
  <si>
    <t>OTHER_INVESTING_ACT_DETAILED</t>
  </si>
  <si>
    <t>CF_NET_CASH_DISCONTINUED_OPS_INV</t>
  </si>
  <si>
    <t>Caixa de atividades financeiras</t>
  </si>
  <si>
    <t xml:space="preserve">  + Dividendos pagos</t>
  </si>
  <si>
    <t>CF_DVD_PAID</t>
  </si>
  <si>
    <t xml:space="preserve">  + Caixa de (reembolso) dívida</t>
  </si>
  <si>
    <t>PROC_FR_REPAYMNTS_BOR_DETAILED</t>
  </si>
  <si>
    <t xml:space="preserve">    + Caixa de (reembolso) dívida CP</t>
  </si>
  <si>
    <t>CF_NET_CHG_ST_DEBT_CPTL_LEAS</t>
  </si>
  <si>
    <t xml:space="preserve">    + Caixa de dívida LP</t>
  </si>
  <si>
    <t>CF_LT_DEBT_CAP_LEAS_PROCEEDS</t>
  </si>
  <si>
    <t xml:space="preserve">    + Reembolso de dívida LP</t>
  </si>
  <si>
    <t>CF_LT_DEBT_CAP_LEAS_PAYMENT</t>
  </si>
  <si>
    <t xml:space="preserve">  + Caixa (recompra) de capital</t>
  </si>
  <si>
    <t>PROC_FR_REPURCH_EQTY_DETAILED</t>
  </si>
  <si>
    <t xml:space="preserve">    + Aumento no capital social</t>
  </si>
  <si>
    <t>CF_INCR_CAP_STOCK</t>
  </si>
  <si>
    <t xml:space="preserve">    + Redução no capital social</t>
  </si>
  <si>
    <t>CF_DECR_CAP_STOCK</t>
  </si>
  <si>
    <t xml:space="preserve">  + Outras atividades financeiras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</si>
  <si>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</si>
  <si>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</si>
  <si>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</si>
  <si>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</si>
  <si>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</si>
  <si>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Var. líquidas no caixa</t>
  </si>
  <si>
    <t>CF_NET_CHNG_CASH</t>
  </si>
  <si>
    <t>Impostos pagos em cash</t>
  </si>
  <si>
    <t>CF_CASH_PAID_FOR_TAX</t>
  </si>
  <si>
    <t>Juros pagos</t>
  </si>
  <si>
    <t>CF_ACT_CASH_PAID_FOR_INT_DEBT</t>
  </si>
  <si>
    <t>Margem EBITDA últimos 12M</t>
  </si>
  <si>
    <t>Juros recebidos</t>
  </si>
  <si>
    <t>CF_INTEREST_RECEIVED</t>
  </si>
  <si>
    <t>Fluxo de caixa livre a Empresa</t>
  </si>
  <si>
    <t>CF_FREE_CASH_FLOW_FIRM</t>
  </si>
  <si>
    <t>Fluxo caixa livre p/ ação</t>
  </si>
  <si>
    <t>FREE_CASH_FLOW_EQUITY</t>
  </si>
  <si>
    <t>Fluxo de caixa livre/Ação básica</t>
  </si>
  <si>
    <t>Preço/Fluxo de caixa livre</t>
  </si>
  <si>
    <t>Fluxo de caixa/Lucro líquido</t>
  </si>
  <si>
    <t>CASH_FLOW_TO_NET_INC</t>
  </si>
  <si>
    <t>Despesa com juros</t>
  </si>
  <si>
    <t>OPERACIONAL</t>
  </si>
  <si>
    <t>FINANCEIRO</t>
  </si>
  <si>
    <t>Tesouraria</t>
  </si>
  <si>
    <t>BALANÇO PATRIMONIAL</t>
  </si>
  <si>
    <t>Capital Investido</t>
  </si>
  <si>
    <t>ACOp</t>
  </si>
  <si>
    <t>PCOp</t>
  </si>
  <si>
    <t>AñC</t>
  </si>
  <si>
    <t>(-)</t>
  </si>
  <si>
    <t>(+)</t>
  </si>
  <si>
    <t>PCFin</t>
  </si>
  <si>
    <t>ACFin</t>
  </si>
  <si>
    <t>PñC</t>
  </si>
  <si>
    <t>PL</t>
  </si>
  <si>
    <t>Investimento Líquido</t>
  </si>
  <si>
    <t>STATEMENTS (mi)</t>
  </si>
  <si>
    <t>(=)</t>
  </si>
  <si>
    <t>IOG</t>
  </si>
  <si>
    <t>Variação dos dois métodos</t>
  </si>
  <si>
    <t>D.R.E</t>
  </si>
  <si>
    <t>NOPAT</t>
  </si>
  <si>
    <t>Lucro Operacional (LAJIR)</t>
  </si>
  <si>
    <t>Alíquota IR (do LAIR)</t>
  </si>
  <si>
    <t>ROIC</t>
  </si>
  <si>
    <t>FLUXO DE CAIXA LIVRE (FCLE)</t>
  </si>
  <si>
    <t>ln(1+ROIC)</t>
  </si>
  <si>
    <t>b (taxa de retenção)</t>
  </si>
  <si>
    <t>g (=ROIC * b)</t>
  </si>
  <si>
    <t>g (CapInvest)</t>
  </si>
  <si>
    <t>g(Receita)</t>
  </si>
  <si>
    <t>ln[1+g(Rec)]</t>
  </si>
  <si>
    <t>ln[1+g(CapInvest)]</t>
  </si>
  <si>
    <t>WACC 2024</t>
  </si>
  <si>
    <t>WACC</t>
  </si>
  <si>
    <t>b</t>
  </si>
  <si>
    <t>g</t>
  </si>
  <si>
    <t>Invest.Líquido</t>
  </si>
  <si>
    <t>Fluxo de Caixa Livre (FCLE)</t>
  </si>
  <si>
    <t>n/a</t>
  </si>
  <si>
    <t>n/a -&gt; não aplicável</t>
  </si>
  <si>
    <t>\</t>
  </si>
  <si>
    <t>Valor da Empresa (histórico)</t>
  </si>
  <si>
    <t>Valor Residual</t>
  </si>
  <si>
    <t xml:space="preserve">Fluxo Caixa </t>
  </si>
  <si>
    <t>AUMENTO SIGNIFICATIVO DA CONTA AO LONGO DOS ANOS</t>
  </si>
  <si>
    <t>Crescimento do Valor da Empresa</t>
  </si>
  <si>
    <t>Lucro Econômico</t>
  </si>
  <si>
    <t>VP(LE)</t>
  </si>
  <si>
    <t>Valor Residual(LE)</t>
  </si>
  <si>
    <t>VALORES EM MILHÕES (mi.)</t>
  </si>
  <si>
    <t>Fator de Desconto (Taxa "r")</t>
  </si>
  <si>
    <t>Valor Econômico da Empresa Projetado</t>
  </si>
  <si>
    <t>Dívida Financeira CP</t>
  </si>
  <si>
    <t>Dívida Financeira LP</t>
  </si>
  <si>
    <t>EQUITY ou P/L</t>
  </si>
  <si>
    <t>Dívida Bruta</t>
  </si>
  <si>
    <t>Peso do Capital Próprio (Wpl)</t>
  </si>
  <si>
    <t>DRE</t>
  </si>
  <si>
    <t>"Despesa com juros"</t>
  </si>
  <si>
    <t>Despesa de Juros acumulada</t>
  </si>
  <si>
    <t>Modelo CAPM</t>
  </si>
  <si>
    <t>Custo de Cap. Próprio (Kpl) Brasil</t>
  </si>
  <si>
    <t>AFLUENTE TRANSMISSÃO DE ENERGIA ELÉTRICA S/A - Balanço Patrimonial Passivo - (Reais Mil)</t>
  </si>
  <si>
    <t> Conta </t>
  </si>
  <si>
    <t> Descrição </t>
  </si>
  <si>
    <t> 31/12/2024 </t>
  </si>
  <si>
    <t> 2 </t>
  </si>
  <si>
    <t> Passivo Total </t>
  </si>
  <si>
    <t> 2.01 </t>
  </si>
  <si>
    <t> Passivo Circulante </t>
  </si>
  <si>
    <t> 2.01.01 </t>
  </si>
  <si>
    <t> Obrigações Sociais e Trabalhistas </t>
  </si>
  <si>
    <t> 665 </t>
  </si>
  <si>
    <t> 2.01.01.01 </t>
  </si>
  <si>
    <t> Obrigações Sociais </t>
  </si>
  <si>
    <t> 2.01.01.01.01 </t>
  </si>
  <si>
    <t> Salários e encargos a pagar </t>
  </si>
  <si>
    <t> 2.01.01.02 </t>
  </si>
  <si>
    <t> Obrigações Trabalhistas </t>
  </si>
  <si>
    <t> 2.01.02 </t>
  </si>
  <si>
    <t> Fornecedores </t>
  </si>
  <si>
    <t> 2.01.02.01 </t>
  </si>
  <si>
    <t> Fornecedores Nacionais </t>
  </si>
  <si>
    <t> 2.01.02.02 </t>
  </si>
  <si>
    <t> Fornecedores Estrangeiros </t>
  </si>
  <si>
    <t> 2.01.03 </t>
  </si>
  <si>
    <t> Obrigações Fiscais </t>
  </si>
  <si>
    <t> 982 </t>
  </si>
  <si>
    <t> 2.01.03.01 </t>
  </si>
  <si>
    <t> Obrigações Fiscais Federais </t>
  </si>
  <si>
    <t> 790 </t>
  </si>
  <si>
    <t> 2.01.03.01.01 </t>
  </si>
  <si>
    <t> Imposto de Renda e Contribuição Social a Pagar </t>
  </si>
  <si>
    <t> 0 </t>
  </si>
  <si>
    <t> 2.01.03.01.02 </t>
  </si>
  <si>
    <t> Programa de Integração Social - PIS </t>
  </si>
  <si>
    <t> 98 </t>
  </si>
  <si>
    <t> 2.01.03.01.03 </t>
  </si>
  <si>
    <t> Contribuição para o Financiamento da Seguridade Social - COFINS </t>
  </si>
  <si>
    <t> 455 </t>
  </si>
  <si>
    <t> 2.01.03.01.04 </t>
  </si>
  <si>
    <t> Instituto Nacional da Seguridade Social - INSS </t>
  </si>
  <si>
    <t> 91 </t>
  </si>
  <si>
    <t> 2.01.03.01.05 </t>
  </si>
  <si>
    <t> Outros </t>
  </si>
  <si>
    <t> 146 </t>
  </si>
  <si>
    <t> 2.01.03.02 </t>
  </si>
  <si>
    <t> Obrigações Fiscais Estaduais </t>
  </si>
  <si>
    <t> 88 </t>
  </si>
  <si>
    <t> 2.01.03.03 </t>
  </si>
  <si>
    <t> Obrigações Fiscais Municipais </t>
  </si>
  <si>
    <t> 46 </t>
  </si>
  <si>
    <t> 2.01.04 </t>
  </si>
  <si>
    <t> Empréstimos e Financiamentos </t>
  </si>
  <si>
    <t> 2.01.04.01 </t>
  </si>
  <si>
    <t> 2.01.04.01.01 </t>
  </si>
  <si>
    <t> Em Moeda Nacional </t>
  </si>
  <si>
    <t> 2.01.04.01.02 </t>
  </si>
  <si>
    <t> Em Moeda Estrangeira </t>
  </si>
  <si>
    <t> 2.01.04.02 </t>
  </si>
  <si>
    <t> Debêntures </t>
  </si>
  <si>
    <t> 2.01.04.03 </t>
  </si>
  <si>
    <t> Financiamento por Arrendamento </t>
  </si>
  <si>
    <t> 2.01.05 </t>
  </si>
  <si>
    <t> Outras Obrigações </t>
  </si>
  <si>
    <t> 2.01.05.01 </t>
  </si>
  <si>
    <t> Passivos com Partes Relacionadas </t>
  </si>
  <si>
    <t> 2.01.05.01.01 </t>
  </si>
  <si>
    <t> Débitos com Coligadas </t>
  </si>
  <si>
    <t> 2.01.05.01.02 </t>
  </si>
  <si>
    <t> Débitos com Controladas </t>
  </si>
  <si>
    <t> 2.01.05.01.03 </t>
  </si>
  <si>
    <t> Débitos com Controladores </t>
  </si>
  <si>
    <t> 2.01.05.01.04 </t>
  </si>
  <si>
    <t> Débitos com Outras Partes Relacionadas </t>
  </si>
  <si>
    <t> 2.01.05.02 </t>
  </si>
  <si>
    <t> 2.01.05.02.01 </t>
  </si>
  <si>
    <t> Dividendos e JCP a Pagar </t>
  </si>
  <si>
    <t> 2.01.05.02.02 </t>
  </si>
  <si>
    <t> Dividendo Mínimo Obrigatório a Pagar </t>
  </si>
  <si>
    <t> 2.01.05.02.03 </t>
  </si>
  <si>
    <t> Obrigações por Pagamentos Baseados em Ações </t>
  </si>
  <si>
    <t> 2.01.05.02.04 </t>
  </si>
  <si>
    <t> Taxas regulamentares </t>
  </si>
  <si>
    <t> 807 </t>
  </si>
  <si>
    <t> 2.01.05.02.05 </t>
  </si>
  <si>
    <t> Outros passivos circulantes </t>
  </si>
  <si>
    <t> 2.01.05.02.06 </t>
  </si>
  <si>
    <t> Dividendos e Juros Sobre Capital Pr¢prio </t>
  </si>
  <si>
    <t> 2.01.05.02.07 </t>
  </si>
  <si>
    <t> Instrumento financeiro derivativo </t>
  </si>
  <si>
    <t> 2.01.06 </t>
  </si>
  <si>
    <t> Provisões </t>
  </si>
  <si>
    <t> 2.01.06.01 </t>
  </si>
  <si>
    <t> Provisões Fiscais Previdenciárias Trabalhistas e Cíveis </t>
  </si>
  <si>
    <t> 2.01.06.01.01 </t>
  </si>
  <si>
    <t> Provisões Fiscais </t>
  </si>
  <si>
    <t> 2.01.06.01.02 </t>
  </si>
  <si>
    <t> Provisões Previdenciárias e Trabalhistas </t>
  </si>
  <si>
    <t> 2.01.06.01.03 </t>
  </si>
  <si>
    <t> Provisões para Benefícios a Empregados </t>
  </si>
  <si>
    <t> 2.01.06.01.04 </t>
  </si>
  <si>
    <t> Provisões Cíveis </t>
  </si>
  <si>
    <t> 2.01.06.02 </t>
  </si>
  <si>
    <t> Outras Provisões </t>
  </si>
  <si>
    <t> 2.01.06.02.01 </t>
  </si>
  <si>
    <t> Provisões para Garantias </t>
  </si>
  <si>
    <t> 2.01.06.02.02 </t>
  </si>
  <si>
    <t> Provisões para Reestruturação </t>
  </si>
  <si>
    <t> 2.01.06.02.03 </t>
  </si>
  <si>
    <t> Provisões para Passivos Ambientais e de Desativação </t>
  </si>
  <si>
    <t> 2.01.07 </t>
  </si>
  <si>
    <t> Passivos sobre Ativos Não-Correntes a Venda e Descontinuados </t>
  </si>
  <si>
    <t> 2.01.07.01 </t>
  </si>
  <si>
    <t> Passivos sobre Ativos Não-Correntes a Venda </t>
  </si>
  <si>
    <t> 2.01.07.02 </t>
  </si>
  <si>
    <t> Passivos sobre Ativos de Operações Descontinuadas </t>
  </si>
  <si>
    <t> 2.02 </t>
  </si>
  <si>
    <t> Passivo Não Circulante </t>
  </si>
  <si>
    <t> 2.02.01 </t>
  </si>
  <si>
    <t> 2.02.01.01 </t>
  </si>
  <si>
    <t> 2.02.01.01.01 </t>
  </si>
  <si>
    <t> 2.02.01.01.02 </t>
  </si>
  <si>
    <t> 2.02.01.02 </t>
  </si>
  <si>
    <t> 2.02.01.03 </t>
  </si>
  <si>
    <t> 2.02.02 </t>
  </si>
  <si>
    <t> 2.02.02.01 </t>
  </si>
  <si>
    <t> 2.02.02.01.01 </t>
  </si>
  <si>
    <t> 2.02.02.01.02 </t>
  </si>
  <si>
    <t> 2.02.02.01.03 </t>
  </si>
  <si>
    <t> 2.02.02.01.04 </t>
  </si>
  <si>
    <t> 2.02.02.02 </t>
  </si>
  <si>
    <t> 2.02.02.02.01 </t>
  </si>
  <si>
    <t> 2.02.02.02.02 </t>
  </si>
  <si>
    <t> Adiantamento para Futuro Aumento de Capital </t>
  </si>
  <si>
    <t> 2.02.02.02.03 </t>
  </si>
  <si>
    <t> 2.02.02.02.04 </t>
  </si>
  <si>
    <t> Outros passivos não circulantes </t>
  </si>
  <si>
    <t> 150 </t>
  </si>
  <si>
    <t> 2.02.02.02.05 </t>
  </si>
  <si>
    <t> 458 </t>
  </si>
  <si>
    <t> 2.02.03 </t>
  </si>
  <si>
    <t> Tributos Diferidos </t>
  </si>
  <si>
    <t> 2.02.03.01 </t>
  </si>
  <si>
    <t> Imposto de Renda e Contribuição Social Diferidos </t>
  </si>
  <si>
    <t> 2.02.04 </t>
  </si>
  <si>
    <t> 2.02.04.01 </t>
  </si>
  <si>
    <t> 2.02.04.01.01 </t>
  </si>
  <si>
    <t> 2.02.04.01.02 </t>
  </si>
  <si>
    <t> 2.02.04.01.03 </t>
  </si>
  <si>
    <t> 2.02.04.01.04 </t>
  </si>
  <si>
    <t> 2.02.04.02 </t>
  </si>
  <si>
    <t> 2.02.04.02.01 </t>
  </si>
  <si>
    <t> 2.02.04.02.02 </t>
  </si>
  <si>
    <t> 2.02.04.02.03 </t>
  </si>
  <si>
    <t> 2.02.05 </t>
  </si>
  <si>
    <t> 2.02.05.01 </t>
  </si>
  <si>
    <t> 2.02.05.02 </t>
  </si>
  <si>
    <t> 2.02.06 </t>
  </si>
  <si>
    <t> Lucros e Receitas a Apropriar </t>
  </si>
  <si>
    <t> 2.02.06.01 </t>
  </si>
  <si>
    <t> Lucros a Apropriar </t>
  </si>
  <si>
    <t> 2.02.06.02 </t>
  </si>
  <si>
    <t> Receitas a Apropriar </t>
  </si>
  <si>
    <t> 2.02.06.03 </t>
  </si>
  <si>
    <t> Subvenções de Investimento a Apropriar </t>
  </si>
  <si>
    <t> 2.03 </t>
  </si>
  <si>
    <t> Patrimônio Líquido </t>
  </si>
  <si>
    <t> 2.03.01 </t>
  </si>
  <si>
    <t> Capital Social Realizado </t>
  </si>
  <si>
    <t> 2.03.02 </t>
  </si>
  <si>
    <t> Reservas de Capital </t>
  </si>
  <si>
    <t> 2.03.02.01 </t>
  </si>
  <si>
    <t> Ágio na Emissão de Ações </t>
  </si>
  <si>
    <t> 2.03.02.02 </t>
  </si>
  <si>
    <t> Reserva Especial de Ágio na Incorporação </t>
  </si>
  <si>
    <t> 2.03.02.03 </t>
  </si>
  <si>
    <t> Alienação de Bônus de Subscrição </t>
  </si>
  <si>
    <t> 2.03.02.04 </t>
  </si>
  <si>
    <t> Opções Outorgadas </t>
  </si>
  <si>
    <t> 2.03.02.05 </t>
  </si>
  <si>
    <t> Ações em Tesouraria </t>
  </si>
  <si>
    <t> 2.03.02.06 </t>
  </si>
  <si>
    <t> 2.03.03 </t>
  </si>
  <si>
    <t> Reservas de Reavaliação </t>
  </si>
  <si>
    <t> 2.03.04 </t>
  </si>
  <si>
    <t> Reservas de Lucros </t>
  </si>
  <si>
    <t> 2.03.04.01 </t>
  </si>
  <si>
    <t> Reserva Legal </t>
  </si>
  <si>
    <t> 2.03.04.02 </t>
  </si>
  <si>
    <t> Reserva Estatutária </t>
  </si>
  <si>
    <t> 2.03.04.03 </t>
  </si>
  <si>
    <t> Reserva para Contingências </t>
  </si>
  <si>
    <t> 2.03.04.04 </t>
  </si>
  <si>
    <t> Reserva de Lucros a Realizar </t>
  </si>
  <si>
    <t> 2.03.04.05 </t>
  </si>
  <si>
    <t> Reserva de Retenção de Lucros </t>
  </si>
  <si>
    <t> 2.03.04.06 </t>
  </si>
  <si>
    <t> Reserva Especial para Dividendos Não Distribuídos </t>
  </si>
  <si>
    <t> 2.03.04.07 </t>
  </si>
  <si>
    <t> Reserva de Incentivos Fiscais </t>
  </si>
  <si>
    <t> 2.03.04.08 </t>
  </si>
  <si>
    <t> Dividendo Adicional Proposto </t>
  </si>
  <si>
    <t> 2.03.04.09 </t>
  </si>
  <si>
    <t> 2.03.05 </t>
  </si>
  <si>
    <t> Lucros/Prejuízos Acumulados </t>
  </si>
  <si>
    <t> 2.03.06 </t>
  </si>
  <si>
    <t> Ajustes de Avaliação Patrimonial </t>
  </si>
  <si>
    <t> 2.03.07 </t>
  </si>
  <si>
    <t> Ajustes Acumulados de Conversão </t>
  </si>
  <si>
    <t> 2.03.08 </t>
  </si>
  <si>
    <t> Outros Resultados Abrangentes </t>
  </si>
  <si>
    <t> -229 </t>
  </si>
  <si>
    <t xml:space="preserve">Fonte: B3 </t>
  </si>
  <si>
    <t>𝐾𝑒 = 𝑅𝑓 + β ∗ (𝑅𝑚 − 𝑅𝑓)</t>
  </si>
  <si>
    <t>RM -&gt; Retorno esperado do merc.</t>
  </si>
  <si>
    <t>RF -&gt; Taxa livre de risco - SELIC</t>
  </si>
  <si>
    <t>IMPOSTO DE RENDA</t>
  </si>
  <si>
    <t>𝑊𝐴𝐶𝐶=𝑤_𝑃𝐿 (𝑘_𝑃𝐿 )+𝑤_𝐷 [𝑘_𝐷 (1−𝑖𝑟)]</t>
  </si>
  <si>
    <t>Peso da Dívida (Wd)</t>
  </si>
  <si>
    <t>ANO</t>
  </si>
  <si>
    <t>LAJIR</t>
  </si>
  <si>
    <t>Lucro Bruto</t>
  </si>
  <si>
    <t>A empresa tem apenas uma linha de negócio até a data do presente trabalho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</si>
  <si>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</si>
  <si>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</si>
  <si>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</si>
  <si>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</si>
  <si>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</si>
  <si>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</si>
  <si>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</si>
  <si>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</si>
  <si>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</si>
  <si>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</si>
  <si>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</si>
  <si>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</si>
  <si>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</si>
  <si>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</si>
  <si>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</si>
  <si>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</si>
  <si>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</si>
  <si>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</si>
  <si>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</si>
  <si>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</si>
  <si>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</si>
  <si>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99,0%</t>
  </si>
  <si>
    <t>Superior 99,0%</t>
  </si>
  <si>
    <t>A empresa tem receita de juros/capital investido fora das operações</t>
  </si>
  <si>
    <t>LAJIR ESPERADO</t>
  </si>
  <si>
    <t>IRPJ+CSLL</t>
  </si>
  <si>
    <t>MG operacional</t>
  </si>
  <si>
    <t>Anos</t>
  </si>
  <si>
    <t>Crescimento da receita nos últimos 6 anos</t>
  </si>
  <si>
    <t>taxa inicial</t>
  </si>
  <si>
    <t>taxa final</t>
  </si>
  <si>
    <t>Crescimento por Fadeout</t>
  </si>
  <si>
    <t>n períodos</t>
  </si>
  <si>
    <t>ao ano</t>
  </si>
  <si>
    <t>Ano</t>
  </si>
  <si>
    <t>Crescimento (%)</t>
  </si>
  <si>
    <t>Receita (R$ mi)</t>
  </si>
  <si>
    <t>RECEITA</t>
  </si>
  <si>
    <t>MÉDIA GEOMÉTRICA DE CRESCIMENTO DA RECEITA DOS ANOS MAIS ESTÁVEIS</t>
  </si>
  <si>
    <t>IR + CSLL (sob o LAIR)</t>
  </si>
  <si>
    <t>NOPAT (CAP. INV. * ROIC)</t>
  </si>
  <si>
    <t>MG oper.</t>
  </si>
  <si>
    <t>RESUMO DOS RESULTADOS - LAJIR: ANO;RECEITA</t>
  </si>
  <si>
    <t>Fluxos de Caixa à Valor Presente</t>
  </si>
  <si>
    <t>Custo de bens e serviços</t>
  </si>
  <si>
    <t>Depreciação e amortização:</t>
  </si>
  <si>
    <t>Venda e marketing</t>
  </si>
  <si>
    <t>Geral e administrativas</t>
  </si>
  <si>
    <t>Pesquisa e desenvolvimento</t>
  </si>
  <si>
    <t>Despesa de juros, líq</t>
  </si>
  <si>
    <t>Outros Prejuízos (Lucros) não op</t>
  </si>
  <si>
    <t>Despesas operacionais</t>
  </si>
  <si>
    <t>Perdas (lucros) não operacionais</t>
  </si>
  <si>
    <t>Desp c/imposto renda (Benefício)</t>
  </si>
  <si>
    <t>Lucro (Prejuízo) operacional (EBIT/LAJIR)</t>
  </si>
  <si>
    <t>Lucro (Prejuízo) antes de impostos (LAIR)</t>
  </si>
  <si>
    <t>RESUMO DOS RESULTADOS</t>
  </si>
  <si>
    <t>CUSTO DE BENS E SERVIÇOS</t>
  </si>
  <si>
    <t>"Causas X": RECEITA E ANO</t>
  </si>
  <si>
    <t>"Causas X": ANO</t>
  </si>
  <si>
    <t>MODELO A SER UTILIZADO PARA A PROJEÇÃO</t>
  </si>
  <si>
    <t>PROJEÇÃO (ESPERADO)</t>
  </si>
  <si>
    <t>DEPRECIAÇÃO E AMORTIZAÇÃO</t>
  </si>
  <si>
    <t>"Causas X": RECEITA, ANO E CUSTO</t>
  </si>
  <si>
    <t>"Causas X": RECEITA E CUSTO</t>
  </si>
  <si>
    <t>"Causas X": RECEITA E CUSTO DE VENDA</t>
  </si>
  <si>
    <t>"Causas X": CUSTO DE VENDA</t>
  </si>
  <si>
    <t>"Causas X": RECEITA</t>
  </si>
  <si>
    <t>"Causas X": RECEITA(t-1) E ANO</t>
  </si>
  <si>
    <t>Receita (t-1)</t>
  </si>
  <si>
    <t>"Causas X": RECEITA(t-1)</t>
  </si>
  <si>
    <t>"Causas X": RECEITA(t-1) e ANO</t>
  </si>
  <si>
    <t>"Causas X": RECEITA e ANO</t>
  </si>
  <si>
    <t>Bom modelo, mas apenas a causa "ANO" foi melhor</t>
  </si>
  <si>
    <t>"Causas X": RECEITA, CUSTO DE BENS E ANO</t>
  </si>
  <si>
    <t>"Causas X": CUSTO DE BENS E SERVIÇOS</t>
  </si>
  <si>
    <t>"Causas X": CUSTO DE BENS E ANO</t>
  </si>
  <si>
    <t>Geral e administrativas (t-1)</t>
  </si>
  <si>
    <t>Pesquisa e desenvolvimento (Outras desp operacionais)</t>
  </si>
  <si>
    <t>"Causas X": Custo de bens e serviços</t>
  </si>
  <si>
    <t>Valor por ação</t>
  </si>
  <si>
    <t>Valor Total da Empresa Projetado</t>
  </si>
  <si>
    <t>Desvio-padrão (σ)</t>
  </si>
  <si>
    <t>g(Receita) - Cenário</t>
  </si>
  <si>
    <t>Z score (modelo)</t>
  </si>
  <si>
    <t>Otimista</t>
  </si>
  <si>
    <t>Base</t>
  </si>
  <si>
    <t>Pessimista</t>
  </si>
  <si>
    <r>
      <t>E(g)=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+Z</t>
    </r>
    <r>
      <rPr>
        <sz val="11"/>
        <color theme="1"/>
        <rFont val="Symbol"/>
        <family val="1"/>
        <charset val="2"/>
      </rPr>
      <t>s</t>
    </r>
  </si>
  <si>
    <t>Dívida CP</t>
  </si>
  <si>
    <t>"Causas X": CAPITAL INVESTIDO, DÍVIDA LP e CP</t>
  </si>
  <si>
    <t>"Causas X": CAPITAL INVESTIDO</t>
  </si>
  <si>
    <t>"Causas X": DÍVIDA LP</t>
  </si>
  <si>
    <t>"Causas X": DÍVIDA CP</t>
  </si>
  <si>
    <t>Capital Investido (T-1)</t>
  </si>
  <si>
    <t>"Causas X": Capital Investido (t-1)</t>
  </si>
  <si>
    <t>"Causas X": LAJIR</t>
  </si>
  <si>
    <t>Dívida LP (t-1)</t>
  </si>
  <si>
    <t>"Causas X": DÍVIDA LP (t-1)</t>
  </si>
  <si>
    <t>"Causas X": DÍVIDA LP (t-1) e DÍVIDA CP (t-1)</t>
  </si>
  <si>
    <t>Dívida CP (t-1)</t>
  </si>
  <si>
    <t>"Causas X": Dívida LP (t-1)</t>
  </si>
  <si>
    <t>"Causas X": Dívida LP (t-1) e CP (t-1)</t>
  </si>
  <si>
    <t>"Causas X": Despesa de juros, líq</t>
  </si>
  <si>
    <t>"Causas X": Dívida LP</t>
  </si>
  <si>
    <t>Apesar do intercepto ter o "p-value" maior que 0,05, o modelo será considerado, uma vez que o "X causa" não será testado quando o valor for "0"</t>
  </si>
  <si>
    <t>Porcentagem em relação à dívida do periódo</t>
  </si>
  <si>
    <t>Montante amortizado (mi.)</t>
  </si>
  <si>
    <t>"Causas X": EBIT (LAJIR)</t>
  </si>
  <si>
    <t>"Causas X": Receita e Capital Investido (t-1)</t>
  </si>
  <si>
    <t>"Causas X": Ano</t>
  </si>
  <si>
    <t>Despesa de juros, líq (t-1)</t>
  </si>
  <si>
    <t>Despesa com juros (t-1)</t>
  </si>
  <si>
    <t>"Causas X": Despesa de juros, líq (t-1) e Despesa com juros (t-1)</t>
  </si>
  <si>
    <t>"Causas X": Despesa com juros (t-1)</t>
  </si>
  <si>
    <t>"Causas X": Despesa de juros, líq e Despesa com juros</t>
  </si>
  <si>
    <t>"Causas X": Despesa com juros</t>
  </si>
  <si>
    <t>"Causas X": Despesa de juros, líq (t-1)</t>
  </si>
  <si>
    <t>"Causas X": Capital Investido</t>
  </si>
  <si>
    <t>Imposto de renda</t>
  </si>
  <si>
    <t>LAIR (Lucro antes do IR)</t>
  </si>
  <si>
    <t>LAJIR (Lucro antes do Juros e IR)</t>
  </si>
  <si>
    <t>"Causas X": ANO, RECEITA, LAJIR, LAIR</t>
  </si>
  <si>
    <t>Alíquota do IR (Sobre o LAIR)</t>
  </si>
  <si>
    <t>"Causas X": LAIR</t>
  </si>
  <si>
    <t>Média ponderada das alíquotas de IR</t>
  </si>
  <si>
    <t>"Causas X": Dívida LP e Dívida CP</t>
  </si>
  <si>
    <t>Alíquota IR + CSLL (sob o LAIR)</t>
  </si>
  <si>
    <t>LAJIR (Lucro antes de Juros e Imposto de Renda)</t>
  </si>
  <si>
    <t>EBITDA/LAJIDA</t>
  </si>
  <si>
    <t>Mg EBITDA/LAJIDA</t>
  </si>
  <si>
    <t>EBIT/LAJIR</t>
  </si>
  <si>
    <t>Margem de lucro líquido (sob a receita)</t>
  </si>
  <si>
    <t>NOPAT [(LAJIR *(1 - IR)]</t>
  </si>
  <si>
    <t>Mg EBIT/LAJIR</t>
  </si>
  <si>
    <t>JUROS A PAGAR</t>
  </si>
  <si>
    <t>Despesa de Juros da dívida</t>
  </si>
  <si>
    <t>Alíquota IR (sob o LAIR)</t>
  </si>
  <si>
    <t>β -&gt; Beta ajustado da AFLT3</t>
  </si>
  <si>
    <t>Dados do dia 30/10/2025</t>
  </si>
  <si>
    <t>09/30/2025</t>
  </si>
  <si>
    <t> 30/09/2025 </t>
  </si>
  <si>
    <t> 376.972 </t>
  </si>
  <si>
    <t> 342.757 </t>
  </si>
  <si>
    <t> 41.450 </t>
  </si>
  <si>
    <t> 17.993 </t>
  </si>
  <si>
    <t> 593 </t>
  </si>
  <si>
    <t> 2.343 </t>
  </si>
  <si>
    <t> 6.244 </t>
  </si>
  <si>
    <t> 2.022 </t>
  </si>
  <si>
    <t> 1.899 </t>
  </si>
  <si>
    <t> 761 </t>
  </si>
  <si>
    <t> 131 </t>
  </si>
  <si>
    <t> 609 </t>
  </si>
  <si>
    <t> 114 </t>
  </si>
  <si>
    <t> 284 </t>
  </si>
  <si>
    <t> 81 </t>
  </si>
  <si>
    <t> 42 </t>
  </si>
  <si>
    <t> 1.049 </t>
  </si>
  <si>
    <t> 35.443 </t>
  </si>
  <si>
    <t> 10.014 </t>
  </si>
  <si>
    <t> 1.655 </t>
  </si>
  <si>
    <t> 5.119 </t>
  </si>
  <si>
    <t> 3.975 </t>
  </si>
  <si>
    <t> 26.577 </t>
  </si>
  <si>
    <t> 5.144 </t>
  </si>
  <si>
    <t> 2.092 </t>
  </si>
  <si>
    <t> 80.129 </t>
  </si>
  <si>
    <t> 71.852 </t>
  </si>
  <si>
    <t> 26.373 </t>
  </si>
  <si>
    <t> 30.706 </t>
  </si>
  <si>
    <t> 32.301 </t>
  </si>
  <si>
    <t> 30.603 </t>
  </si>
  <si>
    <t> 28.377 </t>
  </si>
  <si>
    <t> 29.995 </t>
  </si>
  <si>
    <t> 49 </t>
  </si>
  <si>
    <t> 476 </t>
  </si>
  <si>
    <t> 2.02.02.02.06 </t>
  </si>
  <si>
    <t> Instrumento financeiros derivativos </t>
  </si>
  <si>
    <t> 3.399 </t>
  </si>
  <si>
    <t> 21.455 </t>
  </si>
  <si>
    <t> 10.543 </t>
  </si>
  <si>
    <t> 255.393 </t>
  </si>
  <si>
    <t> 252.912 </t>
  </si>
  <si>
    <t> 33.085 </t>
  </si>
  <si>
    <t> 199.530 </t>
  </si>
  <si>
    <t> 220.056 </t>
  </si>
  <si>
    <t> 6.617 </t>
  </si>
  <si>
    <t> 151.465 </t>
  </si>
  <si>
    <t> 171.991 </t>
  </si>
  <si>
    <t> 20.922 </t>
  </si>
  <si>
    <t> 20.526 </t>
  </si>
  <si>
    <t> 22.628 </t>
  </si>
  <si>
    <t>3º tri. (Milhares)</t>
  </si>
  <si>
    <t>3º tri.</t>
  </si>
  <si>
    <t/>
  </si>
  <si>
    <t>Dívida Bruta Total</t>
  </si>
  <si>
    <t>Interests expenses -&gt; Despesas com as dívidas adquiridas pela empresa (custo da dívida)</t>
  </si>
  <si>
    <t>Receitas de aplicações financeiras realizadas pela empresa</t>
  </si>
  <si>
    <t>CAIXA E EQUIVALENTES</t>
  </si>
  <si>
    <t>Dívida Líquida</t>
  </si>
  <si>
    <t> 1 </t>
  </si>
  <si>
    <t> Ativo Total </t>
  </si>
  <si>
    <t> 1.01 </t>
  </si>
  <si>
    <t> Ativo Circulante </t>
  </si>
  <si>
    <t> 120.228 </t>
  </si>
  <si>
    <t> 70.441 </t>
  </si>
  <si>
    <t> 1.01.01 </t>
  </si>
  <si>
    <t> Caixa e Equivalentes de Caixa </t>
  </si>
  <si>
    <t> 38.090 </t>
  </si>
  <si>
    <t> 7.321 </t>
  </si>
  <si>
    <t> 1.01.02 </t>
  </si>
  <si>
    <t> Aplicações Financeiras </t>
  </si>
  <si>
    <t> 1.01.02.01 </t>
  </si>
  <si>
    <t> Aplicações Financeiras Avaliadas a Valor Justo através do Resultado </t>
  </si>
  <si>
    <t> 1.01.02.01.01 </t>
  </si>
  <si>
    <t> Títulos para Negociação </t>
  </si>
  <si>
    <t> 1.01.02.01.02 </t>
  </si>
  <si>
    <t> Títulos Designados a Valor Justo </t>
  </si>
  <si>
    <t> 1.01.02.02 </t>
  </si>
  <si>
    <t> Aplicações Financeiras Avaliadas a Valor Justo através de Outros Resultados Abrangentes </t>
  </si>
  <si>
    <t> 1.01.02.03 </t>
  </si>
  <si>
    <t> Aplicações Financeiras Avaliadas ao Custo Amortizado </t>
  </si>
  <si>
    <t> 1.01.03 </t>
  </si>
  <si>
    <t> Contas a Receber </t>
  </si>
  <si>
    <t> 24.251 </t>
  </si>
  <si>
    <t> 7.345 </t>
  </si>
  <si>
    <t> 1.01.03.01 </t>
  </si>
  <si>
    <t> Clientes </t>
  </si>
  <si>
    <t> 1.01.03.02 </t>
  </si>
  <si>
    <t> Outras Contas a Receber </t>
  </si>
  <si>
    <t> 1.01.04 </t>
  </si>
  <si>
    <t> Estoques </t>
  </si>
  <si>
    <t> 1.01.05 </t>
  </si>
  <si>
    <t> Ativos Biológicos </t>
  </si>
  <si>
    <t> 1.01.06 </t>
  </si>
  <si>
    <t> Tributos a Recuperar </t>
  </si>
  <si>
    <t> 3.014 </t>
  </si>
  <si>
    <t> 3.658 </t>
  </si>
  <si>
    <t> 1.01.06.01 </t>
  </si>
  <si>
    <t> Tributos Correntes a Recuperar </t>
  </si>
  <si>
    <t> 1.01.07 </t>
  </si>
  <si>
    <t> Despesas Antecipadas </t>
  </si>
  <si>
    <t> 360 </t>
  </si>
  <si>
    <t> 54 </t>
  </si>
  <si>
    <t> 1.01.08 </t>
  </si>
  <si>
    <t> Outros Ativos Circulantes </t>
  </si>
  <si>
    <t> 54.513 </t>
  </si>
  <si>
    <t> 52.063 </t>
  </si>
  <si>
    <t> 1.01.08.01 </t>
  </si>
  <si>
    <t> Ativos Não-Correntes a Venda </t>
  </si>
  <si>
    <t> 1.01.08.02 </t>
  </si>
  <si>
    <t> Ativos de Operações Descontinuadas </t>
  </si>
  <si>
    <t> 1.01.08.03 </t>
  </si>
  <si>
    <t> 1.01.08.03.01 </t>
  </si>
  <si>
    <t> Concessão do serviço público (ativo financeiro) </t>
  </si>
  <si>
    <t> 1.01.08.03.02 </t>
  </si>
  <si>
    <t> Concessão do serviço público (ativo contratual) </t>
  </si>
  <si>
    <t> 48.998 </t>
  </si>
  <si>
    <t> 48.132 </t>
  </si>
  <si>
    <t> 1.01.08.03.03 </t>
  </si>
  <si>
    <t> 5.515 </t>
  </si>
  <si>
    <t> 3.931 </t>
  </si>
  <si>
    <t> 1.02 </t>
  </si>
  <si>
    <t> Ativo Não Circulante </t>
  </si>
  <si>
    <t> 256.744 </t>
  </si>
  <si>
    <t> 272.316 </t>
  </si>
  <si>
    <t> 1.02.01 </t>
  </si>
  <si>
    <t> Ativo Realizável a Longo Prazo </t>
  </si>
  <si>
    <t> 252.115 </t>
  </si>
  <si>
    <t> 267.168 </t>
  </si>
  <si>
    <t> 1.02.01.01 </t>
  </si>
  <si>
    <t> 1.02.01.01.01 </t>
  </si>
  <si>
    <t> 1.02.01.02 </t>
  </si>
  <si>
    <t> 1.02.01.03 </t>
  </si>
  <si>
    <t> 1.02.01.04 </t>
  </si>
  <si>
    <t> 1.02.01.04.01 </t>
  </si>
  <si>
    <t> 1.02.01.04.02 </t>
  </si>
  <si>
    <t> 1.02.01.05 </t>
  </si>
  <si>
    <t> 1.02.01.06 </t>
  </si>
  <si>
    <t> 1.02.01.07 </t>
  </si>
  <si>
    <t> 1.02.01.07.01 </t>
  </si>
  <si>
    <t> 1.02.01.08 </t>
  </si>
  <si>
    <t> 1.02.01.09 </t>
  </si>
  <si>
    <t> Créditos com Partes Relacionadas </t>
  </si>
  <si>
    <t> 1.02.01.09.01 </t>
  </si>
  <si>
    <t> Créditos com Coligadas </t>
  </si>
  <si>
    <t> 1.02.01.09.02 </t>
  </si>
  <si>
    <t> Créditos com Controladas </t>
  </si>
  <si>
    <t> 1.02.01.09.03 </t>
  </si>
  <si>
    <t> Créditos com Controladores </t>
  </si>
  <si>
    <t> 1.02.01.09.04 </t>
  </si>
  <si>
    <t> Créditos com Outras Partes Relacionadas </t>
  </si>
  <si>
    <t> 1.02.01.10 </t>
  </si>
  <si>
    <t> Outros Ativos Não Circulantes </t>
  </si>
  <si>
    <t> 1.02.01.10.01 </t>
  </si>
  <si>
    <t> 1.02.01.10.02 </t>
  </si>
  <si>
    <t> 1.02.01.10.03 </t>
  </si>
  <si>
    <t> Depósitos judiciais </t>
  </si>
  <si>
    <t> 2.156 </t>
  </si>
  <si>
    <t> 2.032 </t>
  </si>
  <si>
    <t> 1.02.01.10.04 </t>
  </si>
  <si>
    <t> 1.02.01.10.05 </t>
  </si>
  <si>
    <t> 249.624 </t>
  </si>
  <si>
    <t> 264.442 </t>
  </si>
  <si>
    <t> 1.02.01.10.06 </t>
  </si>
  <si>
    <t> Impostos e contribuições a recuperar </t>
  </si>
  <si>
    <t> 335 </t>
  </si>
  <si>
    <t> 1.02.01.10.07 </t>
  </si>
  <si>
    <t> 1.02.01.10.08 </t>
  </si>
  <si>
    <t> Instrumentos financeiros derivativos </t>
  </si>
  <si>
    <t> 359 </t>
  </si>
  <si>
    <t> 1.02.02 </t>
  </si>
  <si>
    <t> Investimentos </t>
  </si>
  <si>
    <t> 1.02.02.01 </t>
  </si>
  <si>
    <t> Participações Societárias </t>
  </si>
  <si>
    <t> 1.02.02.01.01 </t>
  </si>
  <si>
    <t> Participações em Coligadas </t>
  </si>
  <si>
    <t> 1.02.02.01.02 </t>
  </si>
  <si>
    <t> Participações em Controladas </t>
  </si>
  <si>
    <t> 1.02.02.01.03 </t>
  </si>
  <si>
    <t> Participações em Controladas em Conjunto </t>
  </si>
  <si>
    <t> 1.02.02.01.04 </t>
  </si>
  <si>
    <t> Outros Investimentos </t>
  </si>
  <si>
    <t> 1.02.02.02 </t>
  </si>
  <si>
    <t> Propriedades para Investimento </t>
  </si>
  <si>
    <t> 1.02.03 </t>
  </si>
  <si>
    <t> Imobilizado </t>
  </si>
  <si>
    <t> 3.437 </t>
  </si>
  <si>
    <t> 3.939 </t>
  </si>
  <si>
    <t> 1.02.03.01 </t>
  </si>
  <si>
    <t> Imobilizado em Operação </t>
  </si>
  <si>
    <t> 2.489 </t>
  </si>
  <si>
    <t> 2.746 </t>
  </si>
  <si>
    <t> 1.02.03.02 </t>
  </si>
  <si>
    <t> Direito de Uso em Arrendamento </t>
  </si>
  <si>
    <t> 1.02.03.03 </t>
  </si>
  <si>
    <t> Imobilizado em Andamento </t>
  </si>
  <si>
    <t> 948 </t>
  </si>
  <si>
    <t> 1.193 </t>
  </si>
  <si>
    <t> 1.02.04 </t>
  </si>
  <si>
    <t> Intangível </t>
  </si>
  <si>
    <t> 1.192 </t>
  </si>
  <si>
    <t> 1.209 </t>
  </si>
  <si>
    <t> 1.02.04.01 </t>
  </si>
  <si>
    <t> Intangíveis </t>
  </si>
  <si>
    <t> 1.02.04.01.01 </t>
  </si>
  <si>
    <t> Contrato de Concessão </t>
  </si>
  <si>
    <t> 1.02.04.01.02 </t>
  </si>
  <si>
    <t>Dívida Líquida/EBITDA</t>
  </si>
  <si>
    <t>Média ponderada das taxas de Longo Prazo</t>
  </si>
  <si>
    <t>Dívida de Longo Prazo</t>
  </si>
  <si>
    <t>Dívida de Curto Prazo</t>
  </si>
  <si>
    <t>-</t>
  </si>
  <si>
    <t>EBIT(LAJIR)</t>
  </si>
  <si>
    <t>Porcentagem em relação à dívida do periódo t-1</t>
  </si>
  <si>
    <t>Porcentagem em relação à dívida do periódo t</t>
  </si>
  <si>
    <t>Porcentagem em relação ao caixa do periódo t-1</t>
  </si>
  <si>
    <t>Porcentagem em relação ao caixa do periódo t</t>
  </si>
  <si>
    <t>Média ponderada dos rendimentos t-1 (dívida)</t>
  </si>
  <si>
    <t>Média ponderada dos rendimentos t (dívida)</t>
  </si>
  <si>
    <t>Média ponderada dos rendimentos t-1 (caixa)</t>
  </si>
  <si>
    <t>Média ponderada dos rendimentos t (caixa)</t>
  </si>
  <si>
    <t>Caixa e equivalentes de caixa (t-1)</t>
  </si>
  <si>
    <t>Caixa e equivalentes de caixa (t)</t>
  </si>
  <si>
    <t>Média ponderada da amortiz. em relação à dívida</t>
  </si>
  <si>
    <t>AFLUENTE TRANSMISSÃO DE ENERGIA ELÉTRICA S/A - Balanço Patrimonial Ativo - (Reais Mil)</t>
  </si>
  <si>
    <t>Negativo: Liberação da necessidade de dinheiro da operação / Positivo: A operação precisa de mais dinheiro para se manter ativa</t>
  </si>
  <si>
    <t>QTD de ações ordinárias da empresa</t>
  </si>
  <si>
    <t>Perpetuidade:</t>
  </si>
  <si>
    <t>CÁLCULO DO VALOR PATRIMONIAL</t>
  </si>
  <si>
    <t>Patrimônio Líquido Total</t>
  </si>
  <si>
    <t>Baseado no Valor Patrimonial por Ação da Afluente T em 30 de setembro de 2025</t>
  </si>
  <si>
    <t>QTD de ações ordinárias</t>
  </si>
  <si>
    <t>Valor patrimonial por ação</t>
  </si>
  <si>
    <t>CÁLCULO DO PREÇO POR VALOR PATRIMONIAL (P/VPA)</t>
  </si>
  <si>
    <t>Preço da ação no dia 30/10/2025</t>
  </si>
  <si>
    <t>Preço/Valor Patrimonial</t>
  </si>
  <si>
    <t>*O mercado estava pagando 1,78x o valor patrimonial da ação no dia 30/10/2025, apresentando assim uma boa expectativa em relação ao título.</t>
  </si>
  <si>
    <t>CÁLCULO DO PREÇO MÉDIO POR VOLUME NEGOCIADO (VWAP)</t>
  </si>
  <si>
    <t>Volume</t>
  </si>
  <si>
    <t>PERÍODO</t>
  </si>
  <si>
    <t>Preço médio por volume negoc.</t>
  </si>
  <si>
    <t>3º tri. 2025 (mi.)</t>
  </si>
  <si>
    <t>Price Buckets</t>
  </si>
  <si>
    <t>Trades</t>
  </si>
  <si>
    <t>Bid</t>
  </si>
  <si>
    <t>Mid</t>
  </si>
  <si>
    <t>Ask</t>
  </si>
  <si>
    <t>Totals</t>
  </si>
  <si>
    <t>Período: 04/11/24 até 30/10/25</t>
  </si>
  <si>
    <t>04/11/24 até 30/10/25</t>
  </si>
  <si>
    <t>Dívida Total da Empresa</t>
  </si>
  <si>
    <t>PL / Market Captalization</t>
  </si>
  <si>
    <t>δ decresc.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</si>
</sst>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"/>
    <numFmt numFmtId="165" formatCode="#,##0.00_ ;[Red]\-#,##0.00\ "/>
    <numFmt numFmtId="166" formatCode="0.0"/>
    <numFmt numFmtId="167" formatCode="#,##0.0000"/>
    <numFmt numFmtId="168" formatCode="#,##0.000"/>
    <numFmt numFmtId="169" formatCode="0.000"/>
    <numFmt numFmtId="170" formatCode="_-[$R$-416]\ * #,##0.00_-;\-[$R$-416]\ * #,##0.00_-;_-[$R$-416]\ * &quot;-&quot;??_-;_-@_-"/>
  </numFmts>
  <fonts count="4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63"/>
      <name val="Arial"/>
      <family val="2"/>
    </font>
    <font>
      <b/>
      <sz val="10"/>
      <name val="Arial"/>
      <family val="2"/>
    </font>
    <font>
      <b/>
      <i/>
      <sz val="10"/>
      <color indexed="63"/>
      <name val="Arial"/>
      <family val="2"/>
    </font>
    <font>
      <b/>
      <i/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b/>
      <sz val="9"/>
      <color rgb="FFFFFFFF"/>
      <name val="Trebuchet MS"/>
      <family val="2"/>
    </font>
    <font>
      <sz val="9"/>
      <color rgb="FF585A5B"/>
      <name val="Trebuchet MS"/>
      <family val="2"/>
    </font>
    <font>
      <b/>
      <sz val="9"/>
      <color rgb="FF585A5B"/>
      <name val="Trebuchet MS"/>
      <family val="2"/>
    </font>
    <font>
      <i/>
      <sz val="9"/>
      <color theme="1"/>
      <name val="Calibri"/>
      <family val="2"/>
      <scheme val="minor"/>
    </font>
    <font>
      <b/>
      <u/>
      <sz val="10"/>
      <color indexed="8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Symbol"/>
      <family val="1"/>
      <charset val="2"/>
    </font>
    <font>
      <b/>
      <sz val="9"/>
      <color rgb="FFFF0000"/>
      <name val="Trebuchet MS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FD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CCCFD1"/>
      </left>
      <right style="medium">
        <color rgb="FFCCCFD1"/>
      </right>
      <top/>
      <bottom style="medium">
        <color rgb="FFCCCFD1"/>
      </bottom>
      <diagonal/>
    </border>
    <border>
      <left/>
      <right style="medium">
        <color rgb="FFCCCFD1"/>
      </right>
      <top/>
      <bottom style="medium">
        <color rgb="FFCCCFD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6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64" fontId="1" fillId="34" borderId="2">
      <alignment horizontal="right"/>
    </xf>
    <xf numFmtId="16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164" fontId="11" fillId="34" borderId="2">
      <alignment horizontal="right"/>
    </xf>
    <xf numFmtId="164" fontId="11" fillId="35" borderId="2">
      <alignment horizontal="right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292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64" fontId="1" fillId="34" borderId="2" xfId="53" applyNumberFormat="1" applyFont="1" applyFill="1" applyBorder="1" applyAlignment="1" applyProtection="1">
      <alignment horizontal="right"/>
    </xf>
    <xf numFmtId="164" fontId="1" fillId="35" borderId="2" xfId="54" applyNumberFormat="1" applyFont="1" applyFill="1" applyBorder="1" applyAlignment="1" applyProtection="1">
      <alignment horizontal="right"/>
    </xf>
    <xf numFmtId="3" fontId="8" fillId="34" borderId="2" xfId="55" applyNumberFormat="1" applyFont="1" applyFill="1" applyBorder="1" applyAlignment="1" applyProtection="1">
      <alignment horizontal="right"/>
    </xf>
    <xf numFmtId="164" fontId="8" fillId="34" borderId="2" xfId="56" applyNumberFormat="1" applyFont="1" applyFill="1" applyBorder="1" applyAlignment="1" applyProtection="1">
      <alignment horizontal="right"/>
    </xf>
    <xf numFmtId="4" fontId="8" fillId="34" borderId="2" xfId="57" applyNumberFormat="1" applyFont="1" applyFill="1" applyBorder="1" applyAlignment="1" applyProtection="1">
      <alignment horizontal="right"/>
    </xf>
    <xf numFmtId="3" fontId="8" fillId="35" borderId="2" xfId="58" applyNumberFormat="1" applyFont="1" applyFill="1" applyBorder="1" applyAlignment="1" applyProtection="1">
      <alignment horizontal="right"/>
    </xf>
    <xf numFmtId="164" fontId="8" fillId="35" borderId="2" xfId="59" applyNumberFormat="1" applyFont="1" applyFill="1" applyBorder="1" applyAlignment="1" applyProtection="1">
      <alignment horizontal="right"/>
    </xf>
    <xf numFmtId="4" fontId="8" fillId="35" borderId="2" xfId="60" applyNumberFormat="1" applyFont="1" applyFill="1" applyBorder="1" applyAlignment="1" applyProtection="1">
      <alignment horizontal="right"/>
    </xf>
    <xf numFmtId="164" fontId="11" fillId="34" borderId="2" xfId="61" applyNumberFormat="1" applyFont="1" applyFill="1" applyBorder="1" applyAlignment="1" applyProtection="1">
      <alignment horizontal="right"/>
    </xf>
    <xf numFmtId="164" fontId="11" fillId="35" borderId="2" xfId="62" applyNumberFormat="1" applyFont="1" applyFill="1" applyBorder="1" applyAlignment="1" applyProtection="1">
      <alignment horizontal="right"/>
    </xf>
    <xf numFmtId="164" fontId="8" fillId="37" borderId="2" xfId="56" applyNumberFormat="1" applyFont="1" applyFill="1" applyBorder="1" applyAlignment="1" applyProtection="1">
      <alignment horizontal="right"/>
    </xf>
    <xf numFmtId="164" fontId="1" fillId="37" borderId="2" xfId="53" applyNumberFormat="1" applyFont="1" applyFill="1" applyBorder="1" applyAlignment="1" applyProtection="1">
      <alignment horizontal="right"/>
    </xf>
    <xf numFmtId="0" fontId="0" fillId="37" borderId="0" xfId="0" applyFill="1"/>
    <xf numFmtId="164" fontId="0" fillId="0" borderId="0" xfId="0" applyNumberFormat="1"/>
    <xf numFmtId="10" fontId="0" fillId="0" borderId="0" xfId="0" applyNumberFormat="1"/>
    <xf numFmtId="0" fontId="7" fillId="33" borderId="3" xfId="32" applyNumberFormat="1" applyFont="1" applyFill="1" applyBorder="1" applyAlignment="1" applyProtection="1">
      <alignment horizontal="center"/>
    </xf>
    <xf numFmtId="0" fontId="7" fillId="33" borderId="1" xfId="30" applyNumberFormat="1" applyFont="1" applyFill="1" applyBorder="1" applyAlignment="1" applyProtection="1">
      <alignment horizontal="center"/>
    </xf>
    <xf numFmtId="0" fontId="27" fillId="0" borderId="0" xfId="0" applyFont="1"/>
    <xf numFmtId="0" fontId="0" fillId="0" borderId="17" xfId="0" applyBorder="1"/>
    <xf numFmtId="0" fontId="27" fillId="0" borderId="0" xfId="0" applyFont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20" xfId="0" applyBorder="1"/>
    <xf numFmtId="0" fontId="27" fillId="0" borderId="0" xfId="0" applyFont="1" applyBorder="1" applyAlignment="1">
      <alignment horizontal="center"/>
    </xf>
    <xf numFmtId="0" fontId="0" fillId="0" borderId="0" xfId="0" applyFill="1"/>
    <xf numFmtId="0" fontId="27" fillId="0" borderId="0" xfId="0" applyFont="1" applyBorder="1"/>
    <xf numFmtId="0" fontId="0" fillId="0" borderId="0" xfId="0" applyFill="1" applyBorder="1"/>
    <xf numFmtId="0" fontId="0" fillId="0" borderId="22" xfId="0" applyBorder="1"/>
    <xf numFmtId="0" fontId="0" fillId="0" borderId="20" xfId="0" applyFill="1" applyBorder="1"/>
    <xf numFmtId="0" fontId="27" fillId="0" borderId="20" xfId="0" applyFont="1" applyBorder="1"/>
    <xf numFmtId="0" fontId="27" fillId="0" borderId="20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27" fillId="0" borderId="18" xfId="0" applyFont="1" applyBorder="1" applyAlignment="1">
      <alignment horizontal="center"/>
    </xf>
    <xf numFmtId="10" fontId="0" fillId="0" borderId="17" xfId="0" applyNumberFormat="1" applyBorder="1"/>
    <xf numFmtId="0" fontId="27" fillId="0" borderId="0" xfId="0" applyFont="1" applyFill="1" applyBorder="1"/>
    <xf numFmtId="10" fontId="27" fillId="0" borderId="0" xfId="0" applyNumberFormat="1" applyFont="1"/>
    <xf numFmtId="0" fontId="27" fillId="0" borderId="21" xfId="0" applyFont="1" applyFill="1" applyBorder="1"/>
    <xf numFmtId="2" fontId="0" fillId="0" borderId="0" xfId="0" applyNumberFormat="1"/>
    <xf numFmtId="2" fontId="27" fillId="0" borderId="0" xfId="0" applyNumberFormat="1" applyFont="1"/>
    <xf numFmtId="2" fontId="27" fillId="0" borderId="0" xfId="0" applyNumberFormat="1" applyFont="1" applyBorder="1"/>
    <xf numFmtId="2" fontId="0" fillId="0" borderId="0" xfId="0" applyNumberFormat="1" applyBorder="1"/>
    <xf numFmtId="2" fontId="0" fillId="0" borderId="22" xfId="0" applyNumberFormat="1" applyBorder="1"/>
    <xf numFmtId="2" fontId="0" fillId="0" borderId="17" xfId="0" applyNumberFormat="1" applyBorder="1"/>
    <xf numFmtId="0" fontId="29" fillId="0" borderId="0" xfId="0" applyFont="1"/>
    <xf numFmtId="10" fontId="29" fillId="0" borderId="0" xfId="0" applyNumberFormat="1" applyFont="1"/>
    <xf numFmtId="0" fontId="27" fillId="37" borderId="0" xfId="0" applyFont="1" applyFill="1"/>
    <xf numFmtId="2" fontId="27" fillId="37" borderId="0" xfId="0" applyNumberFormat="1" applyFont="1" applyFill="1"/>
    <xf numFmtId="0" fontId="27" fillId="0" borderId="0" xfId="0" applyFont="1" applyAlignment="1">
      <alignment wrapText="1"/>
    </xf>
    <xf numFmtId="10" fontId="27" fillId="0" borderId="0" xfId="0" applyNumberFormat="1" applyFont="1" applyAlignment="1">
      <alignment horizontal="right" wrapText="1"/>
    </xf>
    <xf numFmtId="0" fontId="0" fillId="38" borderId="0" xfId="0" applyFill="1"/>
    <xf numFmtId="0" fontId="30" fillId="0" borderId="0" xfId="0" quotePrefix="1" applyFont="1" applyAlignment="1">
      <alignment horizontal="center"/>
    </xf>
    <xf numFmtId="2" fontId="0" fillId="38" borderId="0" xfId="0" applyNumberFormat="1" applyFill="1"/>
    <xf numFmtId="2" fontId="0" fillId="38" borderId="17" xfId="0" applyNumberFormat="1" applyFill="1" applyBorder="1"/>
    <xf numFmtId="10" fontId="0" fillId="38" borderId="0" xfId="0" applyNumberFormat="1" applyFill="1"/>
    <xf numFmtId="10" fontId="0" fillId="37" borderId="0" xfId="0" applyNumberFormat="1" applyFill="1"/>
    <xf numFmtId="10" fontId="0" fillId="0" borderId="0" xfId="0" applyNumberFormat="1" applyFill="1"/>
    <xf numFmtId="0" fontId="27" fillId="0" borderId="17" xfId="0" applyFont="1" applyBorder="1"/>
    <xf numFmtId="0" fontId="27" fillId="37" borderId="21" xfId="0" applyFont="1" applyFill="1" applyBorder="1"/>
    <xf numFmtId="2" fontId="0" fillId="0" borderId="0" xfId="0" applyNumberFormat="1" applyFill="1"/>
    <xf numFmtId="165" fontId="0" fillId="38" borderId="0" xfId="0" applyNumberFormat="1" applyFill="1"/>
    <xf numFmtId="43" fontId="0" fillId="0" borderId="22" xfId="63" applyFont="1" applyBorder="1"/>
    <xf numFmtId="165" fontId="0" fillId="0" borderId="0" xfId="0" applyNumberFormat="1"/>
    <xf numFmtId="0" fontId="0" fillId="0" borderId="15" xfId="0" applyBorder="1"/>
    <xf numFmtId="165" fontId="0" fillId="0" borderId="0" xfId="0" applyNumberFormat="1" applyFill="1"/>
    <xf numFmtId="0" fontId="32" fillId="37" borderId="5" xfId="37" applyNumberFormat="1" applyFont="1" applyFill="1" applyBorder="1" applyAlignment="1" applyProtection="1"/>
    <xf numFmtId="164" fontId="32" fillId="37" borderId="2" xfId="53" applyNumberFormat="1" applyFont="1" applyFill="1" applyBorder="1" applyAlignment="1" applyProtection="1">
      <alignment horizontal="right"/>
    </xf>
    <xf numFmtId="164" fontId="8" fillId="37" borderId="2" xfId="53" applyNumberFormat="1" applyFont="1" applyFill="1" applyBorder="1" applyAlignment="1" applyProtection="1">
      <alignment horizontal="right"/>
    </xf>
    <xf numFmtId="0" fontId="31" fillId="37" borderId="5" xfId="37" applyNumberFormat="1" applyFont="1" applyFill="1" applyBorder="1" applyAlignment="1" applyProtection="1"/>
    <xf numFmtId="0" fontId="0" fillId="39" borderId="0" xfId="0" applyFill="1"/>
    <xf numFmtId="43" fontId="0" fillId="39" borderId="0" xfId="63" applyFont="1" applyFill="1"/>
    <xf numFmtId="10" fontId="27" fillId="0" borderId="0" xfId="64" applyNumberFormat="1" applyFont="1"/>
    <xf numFmtId="0" fontId="27" fillId="40" borderId="0" xfId="0" applyFont="1" applyFill="1" applyAlignment="1">
      <alignment horizontal="left"/>
    </xf>
    <xf numFmtId="0" fontId="0" fillId="40" borderId="0" xfId="0" applyFill="1" applyAlignment="1">
      <alignment horizontal="left"/>
    </xf>
    <xf numFmtId="165" fontId="0" fillId="39" borderId="0" xfId="0" applyNumberFormat="1" applyFill="1"/>
    <xf numFmtId="0" fontId="27" fillId="0" borderId="18" xfId="0" applyFont="1" applyBorder="1"/>
    <xf numFmtId="0" fontId="27" fillId="0" borderId="21" xfId="0" applyFont="1" applyBorder="1"/>
    <xf numFmtId="0" fontId="8" fillId="37" borderId="5" xfId="35" applyNumberFormat="1" applyFont="1" applyFill="1" applyBorder="1" applyAlignment="1" applyProtection="1"/>
    <xf numFmtId="164" fontId="8" fillId="37" borderId="2" xfId="54" applyNumberFormat="1" applyFont="1" applyFill="1" applyBorder="1" applyAlignment="1" applyProtection="1">
      <alignment horizontal="right"/>
    </xf>
    <xf numFmtId="0" fontId="33" fillId="37" borderId="5" xfId="36" applyNumberFormat="1" applyFont="1" applyFill="1" applyBorder="1" applyAlignment="1" applyProtection="1"/>
    <xf numFmtId="0" fontId="0" fillId="0" borderId="26" xfId="0" applyBorder="1"/>
    <xf numFmtId="10" fontId="27" fillId="0" borderId="0" xfId="64" applyNumberFormat="1" applyFont="1" applyBorder="1"/>
    <xf numFmtId="0" fontId="0" fillId="0" borderId="28" xfId="0" applyBorder="1"/>
    <xf numFmtId="0" fontId="0" fillId="0" borderId="29" xfId="0" applyBorder="1"/>
    <xf numFmtId="2" fontId="0" fillId="0" borderId="28" xfId="0" applyNumberFormat="1" applyBorder="1"/>
    <xf numFmtId="0" fontId="30" fillId="0" borderId="0" xfId="0" quotePrefix="1" applyFont="1"/>
    <xf numFmtId="0" fontId="35" fillId="0" borderId="0" xfId="0" applyFont="1"/>
    <xf numFmtId="14" fontId="2" fillId="33" borderId="0" xfId="26" applyNumberFormat="1" applyFont="1" applyFill="1" applyBorder="1" applyAlignment="1" applyProtection="1"/>
    <xf numFmtId="0" fontId="36" fillId="41" borderId="30" xfId="0" applyFont="1" applyFill="1" applyBorder="1" applyAlignment="1">
      <alignment horizontal="center" vertical="center" wrapText="1"/>
    </xf>
    <xf numFmtId="0" fontId="37" fillId="34" borderId="31" xfId="0" applyFont="1" applyFill="1" applyBorder="1" applyAlignment="1">
      <alignment horizontal="left" vertical="center" wrapText="1"/>
    </xf>
    <xf numFmtId="0" fontId="37" fillId="34" borderId="32" xfId="0" applyFont="1" applyFill="1" applyBorder="1" applyAlignment="1">
      <alignment horizontal="left" vertical="center"/>
    </xf>
    <xf numFmtId="2" fontId="37" fillId="34" borderId="32" xfId="0" applyNumberFormat="1" applyFont="1" applyFill="1" applyBorder="1" applyAlignment="1">
      <alignment horizontal="right" vertical="center" wrapText="1"/>
    </xf>
    <xf numFmtId="0" fontId="38" fillId="37" borderId="31" xfId="0" applyFont="1" applyFill="1" applyBorder="1" applyAlignment="1">
      <alignment horizontal="left" vertical="center" wrapText="1"/>
    </xf>
    <xf numFmtId="0" fontId="38" fillId="37" borderId="32" xfId="0" applyFont="1" applyFill="1" applyBorder="1" applyAlignment="1">
      <alignment horizontal="left" vertical="center"/>
    </xf>
    <xf numFmtId="2" fontId="38" fillId="37" borderId="32" xfId="0" applyNumberFormat="1" applyFont="1" applyFill="1" applyBorder="1" applyAlignment="1">
      <alignment horizontal="right" vertical="center" wrapText="1"/>
    </xf>
    <xf numFmtId="10" fontId="12" fillId="0" borderId="0" xfId="64" applyNumberFormat="1" applyFont="1"/>
    <xf numFmtId="4" fontId="0" fillId="0" borderId="0" xfId="0" applyNumberFormat="1" applyBorder="1"/>
    <xf numFmtId="4" fontId="0" fillId="0" borderId="22" xfId="0" applyNumberFormat="1" applyBorder="1"/>
    <xf numFmtId="0" fontId="27" fillId="0" borderId="25" xfId="0" applyFont="1" applyBorder="1"/>
    <xf numFmtId="10" fontId="27" fillId="0" borderId="27" xfId="0" applyNumberFormat="1" applyFont="1" applyBorder="1"/>
    <xf numFmtId="0" fontId="39" fillId="0" borderId="33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0" fontId="0" fillId="0" borderId="38" xfId="0" applyNumberFormat="1" applyBorder="1"/>
    <xf numFmtId="10" fontId="0" fillId="0" borderId="26" xfId="0" applyNumberFormat="1" applyBorder="1"/>
    <xf numFmtId="10" fontId="27" fillId="0" borderId="26" xfId="0" applyNumberFormat="1" applyFont="1" applyBorder="1"/>
    <xf numFmtId="0" fontId="3" fillId="37" borderId="5" xfId="37" applyNumberFormat="1" applyFont="1" applyFill="1" applyBorder="1" applyAlignment="1" applyProtection="1"/>
    <xf numFmtId="164" fontId="8" fillId="34" borderId="2" xfId="56" quotePrefix="1" applyNumberFormat="1" applyFont="1" applyFill="1" applyBorder="1" applyAlignment="1" applyProtection="1">
      <alignment horizontal="right"/>
    </xf>
    <xf numFmtId="164" fontId="8" fillId="0" borderId="2" xfId="59" applyNumberFormat="1" applyFont="1" applyFill="1" applyBorder="1" applyAlignment="1" applyProtection="1">
      <alignment horizontal="right"/>
    </xf>
    <xf numFmtId="0" fontId="8" fillId="34" borderId="0" xfId="35" applyNumberFormat="1" applyFont="1" applyFill="1" applyBorder="1" applyAlignment="1" applyProtection="1"/>
    <xf numFmtId="0" fontId="40" fillId="34" borderId="0" xfId="35" applyNumberFormat="1" applyFont="1" applyFill="1" applyBorder="1" applyAlignment="1" applyProtection="1"/>
    <xf numFmtId="0" fontId="0" fillId="0" borderId="0" xfId="0" applyFill="1" applyBorder="1" applyAlignment="1"/>
    <xf numFmtId="0" fontId="0" fillId="0" borderId="39" xfId="0" applyFill="1" applyBorder="1" applyAlignment="1"/>
    <xf numFmtId="0" fontId="35" fillId="0" borderId="40" xfId="0" applyFont="1" applyFill="1" applyBorder="1" applyAlignment="1">
      <alignment horizontal="center"/>
    </xf>
    <xf numFmtId="0" fontId="35" fillId="0" borderId="40" xfId="0" applyFont="1" applyFill="1" applyBorder="1" applyAlignment="1">
      <alignment horizontal="centerContinuous"/>
    </xf>
    <xf numFmtId="0" fontId="0" fillId="42" borderId="0" xfId="0" applyFill="1" applyBorder="1" applyAlignment="1"/>
    <xf numFmtId="0" fontId="0" fillId="0" borderId="0" xfId="0" applyFont="1"/>
    <xf numFmtId="0" fontId="3" fillId="0" borderId="5" xfId="37" applyNumberFormat="1" applyFont="1" applyFill="1" applyBorder="1" applyAlignment="1" applyProtection="1"/>
    <xf numFmtId="0" fontId="4" fillId="0" borderId="5" xfId="36" applyNumberFormat="1" applyFont="1" applyFill="1" applyBorder="1" applyAlignment="1" applyProtection="1"/>
    <xf numFmtId="0" fontId="0" fillId="42" borderId="39" xfId="0" applyFill="1" applyBorder="1" applyAlignment="1"/>
    <xf numFmtId="10" fontId="8" fillId="34" borderId="2" xfId="64" quotePrefix="1" applyNumberFormat="1" applyFont="1" applyFill="1" applyBorder="1" applyAlignment="1" applyProtection="1">
      <alignment horizontal="right"/>
    </xf>
    <xf numFmtId="9" fontId="0" fillId="0" borderId="0" xfId="64" applyFont="1"/>
    <xf numFmtId="10" fontId="0" fillId="0" borderId="0" xfId="64" applyNumberFormat="1" applyFont="1"/>
    <xf numFmtId="0" fontId="27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30" fillId="0" borderId="0" xfId="0" applyFont="1" applyFill="1"/>
    <xf numFmtId="166" fontId="0" fillId="38" borderId="0" xfId="0" applyNumberFormat="1" applyFill="1"/>
    <xf numFmtId="4" fontId="0" fillId="0" borderId="0" xfId="0" applyNumberFormat="1"/>
    <xf numFmtId="0" fontId="8" fillId="34" borderId="16" xfId="35" applyNumberFormat="1" applyFont="1" applyFill="1" applyBorder="1" applyAlignment="1" applyProtection="1"/>
    <xf numFmtId="0" fontId="8" fillId="0" borderId="5" xfId="35" applyNumberFormat="1" applyFont="1" applyFill="1" applyBorder="1" applyAlignment="1" applyProtection="1"/>
    <xf numFmtId="164" fontId="41" fillId="35" borderId="2" xfId="54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4" fontId="8" fillId="35" borderId="2" xfId="59" applyNumberFormat="1" applyFont="1" applyFill="1" applyBorder="1" applyAlignment="1" applyProtection="1">
      <alignment horizontal="right"/>
    </xf>
    <xf numFmtId="4" fontId="1" fillId="34" borderId="2" xfId="53" applyNumberFormat="1" applyFont="1" applyFill="1" applyBorder="1" applyAlignment="1" applyProtection="1">
      <alignment horizontal="right"/>
    </xf>
    <xf numFmtId="4" fontId="1" fillId="35" borderId="2" xfId="54" applyNumberFormat="1" applyFont="1" applyFill="1" applyBorder="1" applyAlignment="1" applyProtection="1">
      <alignment horizontal="right"/>
    </xf>
    <xf numFmtId="4" fontId="11" fillId="34" borderId="2" xfId="61" applyNumberFormat="1" applyFont="1" applyFill="1" applyBorder="1" applyAlignment="1" applyProtection="1">
      <alignment horizontal="right"/>
    </xf>
    <xf numFmtId="4" fontId="1" fillId="0" borderId="2" xfId="53" applyNumberFormat="1" applyFont="1" applyFill="1" applyBorder="1" applyAlignment="1" applyProtection="1">
      <alignment horizontal="right"/>
    </xf>
    <xf numFmtId="4" fontId="11" fillId="0" borderId="2" xfId="61" applyNumberFormat="1" applyFont="1" applyFill="1" applyBorder="1" applyAlignment="1" applyProtection="1">
      <alignment horizontal="right"/>
    </xf>
    <xf numFmtId="4" fontId="32" fillId="35" borderId="2" xfId="54" applyNumberFormat="1" applyFont="1" applyFill="1" applyBorder="1" applyAlignment="1" applyProtection="1">
      <alignment horizontal="right"/>
    </xf>
    <xf numFmtId="4" fontId="8" fillId="0" borderId="2" xfId="56" applyNumberFormat="1" applyFont="1" applyFill="1" applyBorder="1" applyAlignment="1" applyProtection="1">
      <alignment horizontal="right"/>
    </xf>
    <xf numFmtId="4" fontId="32" fillId="0" borderId="2" xfId="54" applyNumberFormat="1" applyFont="1" applyFill="1" applyBorder="1" applyAlignment="1" applyProtection="1">
      <alignment horizontal="right"/>
    </xf>
    <xf numFmtId="0" fontId="33" fillId="0" borderId="16" xfId="36" applyNumberFormat="1" applyFont="1" applyFill="1" applyBorder="1" applyAlignment="1" applyProtection="1"/>
    <xf numFmtId="167" fontId="0" fillId="0" borderId="0" xfId="0" applyNumberFormat="1"/>
    <xf numFmtId="0" fontId="31" fillId="34" borderId="5" xfId="37" applyNumberFormat="1" applyFont="1" applyFill="1" applyBorder="1" applyAlignment="1" applyProtection="1"/>
    <xf numFmtId="4" fontId="8" fillId="34" borderId="2" xfId="53" applyNumberFormat="1" applyFont="1" applyFill="1" applyBorder="1" applyAlignment="1" applyProtection="1">
      <alignment horizontal="right"/>
    </xf>
    <xf numFmtId="4" fontId="8" fillId="0" borderId="2" xfId="54" applyNumberFormat="1" applyFont="1" applyFill="1" applyBorder="1" applyAlignment="1" applyProtection="1">
      <alignment horizontal="right"/>
    </xf>
    <xf numFmtId="2" fontId="8" fillId="34" borderId="2" xfId="56" applyNumberFormat="1" applyFont="1" applyFill="1" applyBorder="1" applyAlignment="1" applyProtection="1">
      <alignment horizontal="right"/>
    </xf>
    <xf numFmtId="2" fontId="1" fillId="34" borderId="2" xfId="53" applyNumberFormat="1" applyFont="1" applyFill="1" applyBorder="1" applyAlignment="1" applyProtection="1">
      <alignment horizontal="right"/>
    </xf>
    <xf numFmtId="1" fontId="7" fillId="33" borderId="3" xfId="32" applyNumberFormat="1" applyFont="1" applyFill="1" applyBorder="1" applyAlignment="1" applyProtection="1">
      <alignment horizontal="right"/>
    </xf>
    <xf numFmtId="0" fontId="0" fillId="0" borderId="41" xfId="0" applyBorder="1"/>
    <xf numFmtId="0" fontId="27" fillId="0" borderId="35" xfId="0" applyFont="1" applyBorder="1"/>
    <xf numFmtId="0" fontId="35" fillId="0" borderId="42" xfId="0" applyFont="1" applyFill="1" applyBorder="1" applyAlignment="1">
      <alignment horizontal="centerContinuous"/>
    </xf>
    <xf numFmtId="0" fontId="0" fillId="0" borderId="35" xfId="0" applyFill="1" applyBorder="1" applyAlignment="1"/>
    <xf numFmtId="0" fontId="0" fillId="0" borderId="37" xfId="0" applyFill="1" applyBorder="1" applyAlignment="1"/>
    <xf numFmtId="0" fontId="35" fillId="0" borderId="42" xfId="0" applyFont="1" applyFill="1" applyBorder="1" applyAlignment="1">
      <alignment horizontal="center"/>
    </xf>
    <xf numFmtId="0" fontId="0" fillId="0" borderId="39" xfId="0" applyBorder="1"/>
    <xf numFmtId="0" fontId="0" fillId="0" borderId="38" xfId="0" applyBorder="1"/>
    <xf numFmtId="0" fontId="27" fillId="0" borderId="33" xfId="0" applyFont="1" applyBorder="1"/>
    <xf numFmtId="10" fontId="0" fillId="0" borderId="0" xfId="64" applyNumberFormat="1" applyFont="1" applyFill="1" applyBorder="1" applyAlignment="1"/>
    <xf numFmtId="0" fontId="0" fillId="42" borderId="35" xfId="0" applyFill="1" applyBorder="1" applyAlignment="1"/>
    <xf numFmtId="10" fontId="0" fillId="42" borderId="0" xfId="64" applyNumberFormat="1" applyFont="1" applyFill="1" applyBorder="1" applyAlignment="1"/>
    <xf numFmtId="0" fontId="0" fillId="39" borderId="39" xfId="0" applyFill="1" applyBorder="1" applyAlignment="1"/>
    <xf numFmtId="0" fontId="27" fillId="0" borderId="41" xfId="0" applyFont="1" applyBorder="1"/>
    <xf numFmtId="0" fontId="0" fillId="39" borderId="0" xfId="0" applyFill="1" applyBorder="1" applyAlignment="1"/>
    <xf numFmtId="0" fontId="0" fillId="0" borderId="33" xfId="0" applyBorder="1"/>
    <xf numFmtId="0" fontId="1" fillId="34" borderId="5" xfId="35" applyNumberFormat="1" applyFont="1" applyFill="1" applyBorder="1" applyAlignment="1" applyProtection="1"/>
    <xf numFmtId="2" fontId="1" fillId="34" borderId="2" xfId="56" applyNumberFormat="1" applyFont="1" applyFill="1" applyBorder="1" applyAlignment="1" applyProtection="1">
      <alignment horizontal="right"/>
    </xf>
    <xf numFmtId="2" fontId="8" fillId="34" borderId="0" xfId="56" applyNumberFormat="1" applyFont="1" applyFill="1" applyBorder="1" applyAlignment="1" applyProtection="1">
      <alignment horizontal="right"/>
    </xf>
    <xf numFmtId="2" fontId="8" fillId="34" borderId="0" xfId="56" applyNumberFormat="1" applyFont="1" applyFill="1" applyBorder="1" applyAlignment="1" applyProtection="1">
      <alignment horizontal="left"/>
    </xf>
    <xf numFmtId="0" fontId="8" fillId="34" borderId="0" xfId="35" applyNumberFormat="1" applyFont="1" applyFill="1" applyBorder="1" applyAlignment="1" applyProtection="1">
      <alignment horizontal="left"/>
    </xf>
    <xf numFmtId="0" fontId="0" fillId="0" borderId="25" xfId="0" applyBorder="1"/>
    <xf numFmtId="0" fontId="0" fillId="0" borderId="27" xfId="0" applyBorder="1"/>
    <xf numFmtId="0" fontId="35" fillId="0" borderId="0" xfId="0" applyFont="1" applyFill="1" applyBorder="1" applyAlignment="1">
      <alignment horizontal="centerContinuous"/>
    </xf>
    <xf numFmtId="0" fontId="35" fillId="0" borderId="0" xfId="0" applyFont="1" applyFill="1" applyBorder="1" applyAlignment="1">
      <alignment horizontal="center"/>
    </xf>
    <xf numFmtId="2" fontId="1" fillId="34" borderId="0" xfId="56" applyNumberFormat="1" applyFont="1" applyFill="1" applyBorder="1" applyAlignment="1" applyProtection="1">
      <alignment horizontal="right"/>
    </xf>
    <xf numFmtId="0" fontId="35" fillId="0" borderId="35" xfId="0" applyFont="1" applyFill="1" applyBorder="1" applyAlignment="1">
      <alignment horizontal="centerContinuous"/>
    </xf>
    <xf numFmtId="0" fontId="35" fillId="0" borderId="35" xfId="0" applyFont="1" applyFill="1" applyBorder="1" applyAlignment="1">
      <alignment horizontal="center"/>
    </xf>
    <xf numFmtId="0" fontId="35" fillId="0" borderId="43" xfId="0" applyFont="1" applyFill="1" applyBorder="1" applyAlignment="1">
      <alignment horizontal="center"/>
    </xf>
    <xf numFmtId="0" fontId="0" fillId="0" borderId="36" xfId="0" applyFill="1" applyBorder="1" applyAlignment="1"/>
    <xf numFmtId="0" fontId="0" fillId="0" borderId="38" xfId="0" applyFill="1" applyBorder="1" applyAlignment="1"/>
    <xf numFmtId="0" fontId="35" fillId="0" borderId="36" xfId="0" applyFont="1" applyFill="1" applyBorder="1" applyAlignment="1">
      <alignment horizontal="center"/>
    </xf>
    <xf numFmtId="4" fontId="0" fillId="39" borderId="0" xfId="0" applyNumberFormat="1" applyFill="1"/>
    <xf numFmtId="0" fontId="29" fillId="0" borderId="0" xfId="0" applyNumberFormat="1" applyFont="1"/>
    <xf numFmtId="0" fontId="0" fillId="0" borderId="0" xfId="0" applyNumberFormat="1"/>
    <xf numFmtId="2" fontId="29" fillId="0" borderId="0" xfId="0" applyNumberFormat="1" applyFont="1"/>
    <xf numFmtId="0" fontId="42" fillId="0" borderId="0" xfId="0" applyFont="1"/>
    <xf numFmtId="10" fontId="42" fillId="0" borderId="0" xfId="0" applyNumberFormat="1" applyFont="1"/>
    <xf numFmtId="4" fontId="8" fillId="35" borderId="2" xfId="54" applyNumberFormat="1" applyFont="1" applyFill="1" applyBorder="1" applyAlignment="1" applyProtection="1">
      <alignment horizontal="right"/>
    </xf>
    <xf numFmtId="1" fontId="0" fillId="0" borderId="0" xfId="0" applyNumberFormat="1"/>
    <xf numFmtId="168" fontId="34" fillId="37" borderId="2" xfId="61" applyNumberFormat="1" applyFont="1" applyFill="1" applyBorder="1" applyAlignment="1" applyProtection="1">
      <alignment horizontal="right"/>
    </xf>
    <xf numFmtId="168" fontId="34" fillId="37" borderId="2" xfId="62" applyNumberFormat="1" applyFont="1" applyFill="1" applyBorder="1" applyAlignment="1" applyProtection="1">
      <alignment horizontal="right"/>
    </xf>
    <xf numFmtId="168" fontId="1" fillId="34" borderId="2" xfId="53" applyNumberFormat="1" applyFont="1" applyFill="1" applyBorder="1" applyAlignment="1" applyProtection="1">
      <alignment horizontal="right"/>
    </xf>
    <xf numFmtId="168" fontId="1" fillId="35" borderId="2" xfId="54" applyNumberFormat="1" applyFont="1" applyFill="1" applyBorder="1" applyAlignment="1" applyProtection="1">
      <alignment horizontal="right"/>
    </xf>
    <xf numFmtId="168" fontId="8" fillId="37" borderId="2" xfId="53" applyNumberFormat="1" applyFont="1" applyFill="1" applyBorder="1" applyAlignment="1" applyProtection="1">
      <alignment horizontal="right"/>
    </xf>
    <xf numFmtId="168" fontId="8" fillId="37" borderId="2" xfId="54" applyNumberFormat="1" applyFont="1" applyFill="1" applyBorder="1" applyAlignment="1" applyProtection="1">
      <alignment horizontal="right"/>
    </xf>
    <xf numFmtId="0" fontId="0" fillId="39" borderId="35" xfId="0" applyFill="1" applyBorder="1" applyAlignment="1"/>
    <xf numFmtId="0" fontId="32" fillId="43" borderId="5" xfId="35" applyNumberFormat="1" applyFont="1" applyFill="1" applyBorder="1" applyAlignment="1" applyProtection="1"/>
    <xf numFmtId="2" fontId="32" fillId="43" borderId="2" xfId="56" applyNumberFormat="1" applyFont="1" applyFill="1" applyBorder="1" applyAlignment="1" applyProtection="1">
      <alignment horizontal="right"/>
    </xf>
    <xf numFmtId="0" fontId="27" fillId="37" borderId="0" xfId="0" applyFont="1" applyFill="1" applyBorder="1" applyAlignment="1">
      <alignment vertical="center"/>
    </xf>
    <xf numFmtId="0" fontId="1" fillId="34" borderId="16" xfId="35" applyNumberFormat="1" applyFont="1" applyFill="1" applyBorder="1" applyAlignment="1" applyProtection="1"/>
    <xf numFmtId="2" fontId="8" fillId="34" borderId="2" xfId="53" applyNumberFormat="1" applyFont="1" applyFill="1" applyBorder="1" applyAlignment="1" applyProtection="1">
      <alignment horizontal="right"/>
    </xf>
    <xf numFmtId="10" fontId="1" fillId="34" borderId="2" xfId="64" applyNumberFormat="1" applyFont="1" applyFill="1" applyBorder="1" applyAlignment="1" applyProtection="1">
      <alignment horizontal="right"/>
    </xf>
    <xf numFmtId="0" fontId="0" fillId="0" borderId="0" xfId="64" applyNumberFormat="1" applyFont="1"/>
    <xf numFmtId="0" fontId="8" fillId="43" borderId="16" xfId="35" applyNumberFormat="1" applyFont="1" applyFill="1" applyBorder="1" applyAlignment="1" applyProtection="1"/>
    <xf numFmtId="2" fontId="8" fillId="43" borderId="2" xfId="53" applyNumberFormat="1" applyFont="1" applyFill="1" applyBorder="1" applyAlignment="1" applyProtection="1">
      <alignment horizontal="right"/>
    </xf>
    <xf numFmtId="2" fontId="27" fillId="43" borderId="0" xfId="0" applyNumberFormat="1" applyFont="1" applyFill="1"/>
    <xf numFmtId="0" fontId="27" fillId="37" borderId="35" xfId="0" applyFont="1" applyFill="1" applyBorder="1"/>
    <xf numFmtId="0" fontId="0" fillId="37" borderId="0" xfId="0" applyFill="1" applyBorder="1"/>
    <xf numFmtId="168" fontId="8" fillId="34" borderId="2" xfId="56" applyNumberFormat="1" applyFont="1" applyFill="1" applyBorder="1" applyAlignment="1" applyProtection="1">
      <alignment horizontal="right"/>
    </xf>
    <xf numFmtId="0" fontId="8" fillId="0" borderId="0" xfId="35" applyNumberFormat="1" applyFont="1" applyFill="1" applyBorder="1" applyAlignment="1" applyProtection="1"/>
    <xf numFmtId="4" fontId="0" fillId="37" borderId="0" xfId="0" applyNumberFormat="1" applyFill="1"/>
    <xf numFmtId="0" fontId="8" fillId="37" borderId="0" xfId="35" applyNumberFormat="1" applyFont="1" applyFill="1" applyBorder="1" applyAlignment="1" applyProtection="1"/>
    <xf numFmtId="0" fontId="7" fillId="33" borderId="44" xfId="32" applyNumberFormat="1" applyFont="1" applyFill="1" applyBorder="1" applyAlignment="1" applyProtection="1">
      <alignment horizontal="center"/>
    </xf>
    <xf numFmtId="0" fontId="7" fillId="33" borderId="45" xfId="30" applyNumberFormat="1" applyFont="1" applyFill="1" applyBorder="1" applyAlignment="1" applyProtection="1">
      <alignment horizontal="center"/>
    </xf>
    <xf numFmtId="0" fontId="7" fillId="33" borderId="19" xfId="32" applyNumberFormat="1" applyFont="1" applyFill="1" applyBorder="1" applyAlignment="1" applyProtection="1"/>
    <xf numFmtId="0" fontId="7" fillId="33" borderId="23" xfId="30" applyNumberFormat="1" applyFont="1" applyFill="1" applyBorder="1" applyAlignment="1" applyProtection="1">
      <alignment horizontal="center"/>
    </xf>
    <xf numFmtId="0" fontId="0" fillId="37" borderId="20" xfId="0" applyFill="1" applyBorder="1"/>
    <xf numFmtId="2" fontId="0" fillId="37" borderId="20" xfId="0" applyNumberFormat="1" applyFill="1" applyBorder="1"/>
    <xf numFmtId="2" fontId="0" fillId="37" borderId="23" xfId="0" applyNumberFormat="1" applyFill="1" applyBorder="1"/>
    <xf numFmtId="2" fontId="0" fillId="37" borderId="24" xfId="0" applyNumberFormat="1" applyFill="1" applyBorder="1"/>
    <xf numFmtId="10" fontId="27" fillId="37" borderId="20" xfId="64" applyNumberFormat="1" applyFont="1" applyFill="1" applyBorder="1"/>
    <xf numFmtId="2" fontId="0" fillId="37" borderId="29" xfId="0" applyNumberFormat="1" applyFill="1" applyBorder="1"/>
    <xf numFmtId="10" fontId="27" fillId="37" borderId="18" xfId="0" applyNumberFormat="1" applyFont="1" applyFill="1" applyBorder="1"/>
    <xf numFmtId="10" fontId="27" fillId="0" borderId="26" xfId="64" applyNumberFormat="1" applyFont="1" applyBorder="1"/>
    <xf numFmtId="10" fontId="27" fillId="37" borderId="18" xfId="64" applyNumberFormat="1" applyFont="1" applyFill="1" applyBorder="1"/>
    <xf numFmtId="0" fontId="27" fillId="0" borderId="0" xfId="0" quotePrefix="1" applyFont="1"/>
    <xf numFmtId="10" fontId="0" fillId="0" borderId="36" xfId="0" applyNumberFormat="1" applyBorder="1"/>
    <xf numFmtId="0" fontId="44" fillId="34" borderId="31" xfId="0" applyFont="1" applyFill="1" applyBorder="1" applyAlignment="1">
      <alignment horizontal="left" vertical="center" wrapText="1"/>
    </xf>
    <xf numFmtId="0" fontId="44" fillId="34" borderId="32" xfId="0" applyFont="1" applyFill="1" applyBorder="1" applyAlignment="1">
      <alignment horizontal="left" vertical="center"/>
    </xf>
    <xf numFmtId="2" fontId="44" fillId="34" borderId="32" xfId="0" applyNumberFormat="1" applyFont="1" applyFill="1" applyBorder="1" applyAlignment="1">
      <alignment horizontal="right" vertical="center" wrapText="1"/>
    </xf>
    <xf numFmtId="2" fontId="38" fillId="37" borderId="32" xfId="0" quotePrefix="1" applyNumberFormat="1" applyFont="1" applyFill="1" applyBorder="1" applyAlignment="1">
      <alignment horizontal="right" vertical="center" wrapText="1"/>
    </xf>
    <xf numFmtId="169" fontId="0" fillId="37" borderId="20" xfId="0" applyNumberFormat="1" applyFill="1" applyBorder="1"/>
    <xf numFmtId="164" fontId="27" fillId="37" borderId="0" xfId="0" applyNumberFormat="1" applyFont="1" applyFill="1"/>
    <xf numFmtId="168" fontId="0" fillId="0" borderId="0" xfId="0" applyNumberFormat="1"/>
    <xf numFmtId="0" fontId="38" fillId="0" borderId="31" xfId="0" applyFont="1" applyFill="1" applyBorder="1" applyAlignment="1">
      <alignment horizontal="left" vertical="center" wrapText="1"/>
    </xf>
    <xf numFmtId="0" fontId="38" fillId="0" borderId="32" xfId="0" applyFont="1" applyFill="1" applyBorder="1" applyAlignment="1">
      <alignment horizontal="left" vertical="center"/>
    </xf>
    <xf numFmtId="2" fontId="38" fillId="0" borderId="32" xfId="0" applyNumberFormat="1" applyFont="1" applyFill="1" applyBorder="1" applyAlignment="1">
      <alignment horizontal="right" vertical="center" wrapText="1"/>
    </xf>
    <xf numFmtId="2" fontId="38" fillId="0" borderId="32" xfId="0" quotePrefix="1" applyNumberFormat="1" applyFont="1" applyFill="1" applyBorder="1" applyAlignment="1">
      <alignment horizontal="right" vertical="center" wrapText="1"/>
    </xf>
    <xf numFmtId="169" fontId="6" fillId="34" borderId="0" xfId="31" applyNumberFormat="1" applyFont="1" applyFill="1" applyAlignment="1">
      <alignment horizontal="center"/>
    </xf>
    <xf numFmtId="169" fontId="32" fillId="43" borderId="2" xfId="56" applyNumberFormat="1" applyFont="1" applyFill="1" applyBorder="1" applyAlignment="1" applyProtection="1">
      <alignment horizontal="right"/>
    </xf>
    <xf numFmtId="169" fontId="0" fillId="0" borderId="0" xfId="0" applyNumberFormat="1"/>
    <xf numFmtId="0" fontId="41" fillId="0" borderId="5" xfId="35" applyNumberFormat="1" applyFont="1" applyFill="1" applyBorder="1" applyAlignment="1" applyProtection="1"/>
    <xf numFmtId="2" fontId="41" fillId="0" borderId="2" xfId="56" applyNumberFormat="1" applyFont="1" applyFill="1" applyBorder="1" applyAlignment="1" applyProtection="1">
      <alignment horizontal="right"/>
    </xf>
    <xf numFmtId="2" fontId="0" fillId="0" borderId="0" xfId="64" applyNumberFormat="1" applyFont="1"/>
    <xf numFmtId="0" fontId="44" fillId="37" borderId="31" xfId="0" applyFont="1" applyFill="1" applyBorder="1" applyAlignment="1">
      <alignment horizontal="left" vertical="center" wrapText="1"/>
    </xf>
    <xf numFmtId="0" fontId="44" fillId="37" borderId="32" xfId="0" applyFont="1" applyFill="1" applyBorder="1" applyAlignment="1">
      <alignment horizontal="left" vertical="center"/>
    </xf>
    <xf numFmtId="2" fontId="44" fillId="37" borderId="32" xfId="0" applyNumberFormat="1" applyFont="1" applyFill="1" applyBorder="1" applyAlignment="1">
      <alignment horizontal="right" vertical="center" wrapText="1"/>
    </xf>
    <xf numFmtId="0" fontId="27" fillId="37" borderId="16" xfId="0" applyFont="1" applyFill="1" applyBorder="1" applyAlignment="1"/>
    <xf numFmtId="0" fontId="27" fillId="37" borderId="0" xfId="0" applyFont="1" applyFill="1" applyAlignment="1"/>
    <xf numFmtId="0" fontId="41" fillId="0" borderId="5" xfId="37" applyNumberFormat="1" applyFont="1" applyFill="1" applyBorder="1" applyAlignment="1" applyProtection="1"/>
    <xf numFmtId="4" fontId="41" fillId="0" borderId="2" xfId="53" applyNumberFormat="1" applyFont="1" applyFill="1" applyBorder="1" applyAlignment="1" applyProtection="1">
      <alignment horizontal="right"/>
    </xf>
    <xf numFmtId="0" fontId="0" fillId="43" borderId="0" xfId="0" applyFill="1"/>
    <xf numFmtId="43" fontId="0" fillId="43" borderId="22" xfId="63" applyFont="1" applyFill="1" applyBorder="1"/>
    <xf numFmtId="44" fontId="27" fillId="0" borderId="0" xfId="65" applyFont="1" applyBorder="1"/>
    <xf numFmtId="4" fontId="27" fillId="0" borderId="0" xfId="0" applyNumberFormat="1" applyFont="1" applyBorder="1"/>
    <xf numFmtId="0" fontId="27" fillId="37" borderId="37" xfId="0" applyFont="1" applyFill="1" applyBorder="1"/>
    <xf numFmtId="44" fontId="27" fillId="37" borderId="39" xfId="0" applyNumberFormat="1" applyFont="1" applyFill="1" applyBorder="1"/>
    <xf numFmtId="44" fontId="27" fillId="0" borderId="0" xfId="0" applyNumberFormat="1" applyFont="1" applyFill="1" applyBorder="1"/>
    <xf numFmtId="0" fontId="27" fillId="0" borderId="35" xfId="0" applyFont="1" applyFill="1" applyBorder="1"/>
    <xf numFmtId="2" fontId="27" fillId="37" borderId="39" xfId="0" applyNumberFormat="1" applyFont="1" applyFill="1" applyBorder="1"/>
    <xf numFmtId="0" fontId="2" fillId="33" borderId="0" xfId="26"/>
    <xf numFmtId="14" fontId="0" fillId="0" borderId="0" xfId="0" applyNumberFormat="1"/>
    <xf numFmtId="170" fontId="0" fillId="0" borderId="0" xfId="0" applyNumberFormat="1"/>
    <xf numFmtId="44" fontId="0" fillId="39" borderId="0" xfId="65" applyNumberFormat="1" applyFont="1" applyFill="1"/>
    <xf numFmtId="0" fontId="27" fillId="0" borderId="33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7" fillId="0" borderId="36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27" fillId="37" borderId="0" xfId="0" applyFont="1" applyFill="1" applyBorder="1" applyAlignment="1">
      <alignment horizontal="center" vertical="center"/>
    </xf>
    <xf numFmtId="0" fontId="30" fillId="0" borderId="33" xfId="0" applyFont="1" applyBorder="1" applyAlignment="1">
      <alignment horizontal="center"/>
    </xf>
    <xf numFmtId="0" fontId="30" fillId="0" borderId="41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27" fillId="0" borderId="0" xfId="0" applyFont="1" applyBorder="1" applyAlignment="1">
      <alignment horizontal="center" wrapText="1"/>
    </xf>
  </cellXfs>
  <cellStyles count="66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lp_column_header" xfId="26" xr:uid="{00000000-0005-0000-0000-000019000000}"/>
    <cellStyle name="blp_title_header_row_left" xfId="51" xr:uid="{00000000-0005-0000-0000-00001A000000}"/>
    <cellStyle name="Bom" xfId="38" builtinId="26" customBuiltin="1"/>
    <cellStyle name="Cálculo" xfId="27" builtinId="22" customBuiltin="1"/>
    <cellStyle name="Célula de Verificação" xfId="28" builtinId="23" customBuiltin="1"/>
    <cellStyle name="Célula Vinculada" xfId="44" builtinId="24" customBuiltin="1"/>
    <cellStyle name="Ênfase1" xfId="19" builtinId="29" customBuiltin="1"/>
    <cellStyle name="Ênfase2" xfId="20" builtinId="33" customBuiltin="1"/>
    <cellStyle name="Ênfase3" xfId="21" builtinId="37" customBuiltin="1"/>
    <cellStyle name="Ênfase4" xfId="22" builtinId="41" customBuiltin="1"/>
    <cellStyle name="Ênfase5" xfId="23" builtinId="45" customBuiltin="1"/>
    <cellStyle name="Ênfase6" xfId="24" builtinId="49" customBuiltin="1"/>
    <cellStyle name="Entrada" xfId="43" builtinId="20" customBuiltin="1"/>
    <cellStyle name="fa_column_header_bottom" xfId="30" xr:uid="{00000000-0005-0000-0000-00001E000000}"/>
    <cellStyle name="fa_column_header_bottom_left" xfId="52" xr:uid="{00000000-0005-0000-0000-000020000000}"/>
    <cellStyle name="fa_column_header_empty" xfId="31" xr:uid="{00000000-0005-0000-0000-000021000000}"/>
    <cellStyle name="fa_column_header_top" xfId="32" xr:uid="{00000000-0005-0000-0000-000022000000}"/>
    <cellStyle name="fa_column_header_top_left" xfId="33" xr:uid="{00000000-0005-0000-0000-000024000000}"/>
    <cellStyle name="fa_data_bold_0_grouped" xfId="55" xr:uid="{00000000-0005-0000-0000-000025000000}"/>
    <cellStyle name="fa_data_bold_1_grouped" xfId="56" xr:uid="{00000000-0005-0000-0000-000026000000}"/>
    <cellStyle name="fa_data_bold_2_grouped" xfId="57" xr:uid="{00000000-0005-0000-0000-000029000000}"/>
    <cellStyle name="fa_data_current_bold_0_grouped" xfId="58" xr:uid="{00000000-0005-0000-0000-00002A000000}"/>
    <cellStyle name="fa_data_current_bold_1_grouped" xfId="59" xr:uid="{00000000-0005-0000-0000-00002B000000}"/>
    <cellStyle name="fa_data_current_bold_2_grouped" xfId="60" xr:uid="{00000000-0005-0000-0000-00002C000000}"/>
    <cellStyle name="fa_data_current_italic_1_grouped" xfId="62" xr:uid="{00000000-0005-0000-0000-00002E000000}"/>
    <cellStyle name="fa_data_current_standard_1_grouped" xfId="54" xr:uid="{00000000-0005-0000-0000-000031000000}"/>
    <cellStyle name="fa_data_italic_1_grouped" xfId="61" xr:uid="{00000000-0005-0000-0000-000034000000}"/>
    <cellStyle name="fa_data_standard_1_grouped" xfId="53" xr:uid="{00000000-0005-0000-0000-000037000000}"/>
    <cellStyle name="fa_footer_italic" xfId="34" xr:uid="{00000000-0005-0000-0000-00003B000000}"/>
    <cellStyle name="fa_row_header_bold" xfId="35" xr:uid="{00000000-0005-0000-0000-00003C000000}"/>
    <cellStyle name="fa_row_header_italic" xfId="36" xr:uid="{00000000-0005-0000-0000-00003D000000}"/>
    <cellStyle name="fa_row_header_standard" xfId="37" xr:uid="{00000000-0005-0000-0000-00003E000000}"/>
    <cellStyle name="Moeda" xfId="65" builtinId="4"/>
    <cellStyle name="Neutro" xfId="45" builtinId="28" customBuiltin="1"/>
    <cellStyle name="Normal" xfId="0" builtinId="0"/>
    <cellStyle name="Nota" xfId="46" builtinId="10" customBuiltin="1"/>
    <cellStyle name="Porcentagem" xfId="64" builtinId="5"/>
    <cellStyle name="Ruim" xfId="25" builtinId="27" customBuiltin="1"/>
    <cellStyle name="Saída" xfId="47" builtinId="21" customBuiltin="1"/>
    <cellStyle name="Texto de Aviso" xfId="50" builtinId="11" customBuiltin="1"/>
    <cellStyle name="Texto Explicativo" xfId="29" builtinId="53" customBuiltin="1"/>
    <cellStyle name="Título" xfId="48" builtinId="15" customBuiltin="1"/>
    <cellStyle name="Título 1" xfId="39" builtinId="16" customBuiltin="1"/>
    <cellStyle name="Título 2" xfId="40" builtinId="17" customBuiltin="1"/>
    <cellStyle name="Título 3" xfId="41" builtinId="18" customBuiltin="1"/>
    <cellStyle name="Título 4" xfId="42" builtinId="19" customBuiltin="1"/>
    <cellStyle name="Total" xfId="49" builtinId="25" customBuiltin="1"/>
    <cellStyle name="Vírgula" xfId="63" builtinId="3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</xdr:col>
      <xdr:colOff>38404</xdr:colOff>
      <xdr:row>10</xdr:row>
      <xdr:rowOff>47711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FFB739-6EA9-90A4-F7BE-2D4E6B571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352550"/>
          <a:ext cx="2181529" cy="619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19050</xdr:rowOff>
    </xdr:from>
    <xdr:to>
      <xdr:col>3</xdr:col>
      <xdr:colOff>505184</xdr:colOff>
      <xdr:row>37</xdr:row>
      <xdr:rowOff>161998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405489-0CE5-198F-8D37-73AC130B3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43700"/>
          <a:ext cx="2572109" cy="5239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iz Silva" id="{DD35C3D2-3726-4624-9362-58E9BC4BD33C}" userId="105b65afb6feed0f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5-10-13T19:13:10.57" personId="{DD35C3D2-3726-4624-9362-58E9BC4BD33C}" id="{EE81A2DA-3746-48E0-8C3C-C618B1703384}">
    <text>Visão da empresa:
Valores negativos: Entrou investimento - Teve gasto de dinheiro - Saindo caixa
Valores positivos: Saiu investimento - Salvou dinheiro - Entrou/não gastou caixa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C065-5B39-4D08-9C8E-137E6F25502B}">
  <sheetPr>
    <tabColor theme="3" tint="0.79998168889431442"/>
  </sheetPr>
  <dimension ref="A1:R50"/>
  <sheetViews>
    <sheetView showGridLines="0" workbookViewId="0">
      <selection activeCell="L16" sqref="L16"/>
    </sheetView>
  </sheetViews>
  <sheetFormatPr defaultRowHeight="15" x14ac:dyDescent="0.25"/>
  <cols>
    <col min="2" max="2" width="27" bestFit="1" customWidth="1"/>
    <col min="3" max="3" width="10.7109375" customWidth="1"/>
    <col min="4" max="13" width="10.140625" bestFit="1" customWidth="1"/>
  </cols>
  <sheetData>
    <row r="1" spans="1:13" x14ac:dyDescent="0.25">
      <c r="B1" s="31" t="s">
        <v>415</v>
      </c>
      <c r="C1" s="31"/>
      <c r="D1" s="27">
        <v>2015</v>
      </c>
      <c r="E1" s="27">
        <v>2016</v>
      </c>
      <c r="F1" s="27">
        <v>2017</v>
      </c>
      <c r="G1" s="27">
        <v>2018</v>
      </c>
      <c r="H1" s="27">
        <v>2019</v>
      </c>
      <c r="I1" s="27">
        <v>2020</v>
      </c>
      <c r="J1" s="27">
        <v>2021</v>
      </c>
      <c r="K1" s="27">
        <v>2022</v>
      </c>
      <c r="L1" s="27">
        <v>2023</v>
      </c>
      <c r="M1" s="27">
        <v>2024</v>
      </c>
    </row>
    <row r="2" spans="1:13" x14ac:dyDescent="0.25">
      <c r="D2" s="28" t="s">
        <v>33</v>
      </c>
      <c r="E2" s="28" t="s">
        <v>10</v>
      </c>
      <c r="F2" s="28" t="s">
        <v>11</v>
      </c>
      <c r="G2" s="28" t="s">
        <v>12</v>
      </c>
      <c r="H2" s="28" t="s">
        <v>13</v>
      </c>
      <c r="I2" s="28" t="s">
        <v>14</v>
      </c>
      <c r="J2" s="28" t="s">
        <v>15</v>
      </c>
      <c r="K2" s="28" t="s">
        <v>16</v>
      </c>
      <c r="L2" s="28" t="s">
        <v>17</v>
      </c>
      <c r="M2" s="28" t="s">
        <v>18</v>
      </c>
    </row>
    <row r="3" spans="1:13" ht="15.75" thickBot="1" x14ac:dyDescent="0.3"/>
    <row r="4" spans="1:13" ht="15.75" thickBot="1" x14ac:dyDescent="0.3">
      <c r="B4" s="45" t="s">
        <v>403</v>
      </c>
      <c r="C4" s="35"/>
      <c r="D4" s="29"/>
    </row>
    <row r="5" spans="1:13" x14ac:dyDescent="0.25">
      <c r="B5" s="34"/>
      <c r="C5" s="32"/>
    </row>
    <row r="6" spans="1:13" x14ac:dyDescent="0.25">
      <c r="A6" s="32" t="s">
        <v>409</v>
      </c>
      <c r="B6" s="34" t="s">
        <v>405</v>
      </c>
      <c r="C6" s="32"/>
      <c r="D6" s="53">
        <f>SUM('Bal patrim - Padronizado'!C10,'Bal patrim - Padronizado'!C13,'Bal patrim - Padronizado'!C18,)</f>
        <v>31.74</v>
      </c>
      <c r="E6" s="53">
        <f>SUM('Bal patrim - Padronizado'!D10,'Bal patrim - Padronizado'!D13,'Bal patrim - Padronizado'!D18,)</f>
        <v>33.106999999999999</v>
      </c>
      <c r="F6" s="53">
        <f>SUM('Bal patrim - Padronizado'!E10,'Bal patrim - Padronizado'!E13,'Bal patrim - Padronizado'!E18,)</f>
        <v>34.140999999999998</v>
      </c>
      <c r="G6" s="53">
        <f>SUM('Bal patrim - Padronizado'!F10,'Bal patrim - Padronizado'!F13,'Bal patrim - Padronizado'!F18,)</f>
        <v>21.138999999999999</v>
      </c>
      <c r="H6" s="53">
        <f>SUM('Bal patrim - Padronizado'!G10,'Bal patrim - Padronizado'!G13,'Bal patrim - Padronizado'!G18,)</f>
        <v>23.61</v>
      </c>
      <c r="I6" s="53">
        <f>SUM('Bal patrim - Padronizado'!H10,'Bal patrim - Padronizado'!H13,'Bal patrim - Padronizado'!H18,)</f>
        <v>23.888000000000002</v>
      </c>
      <c r="J6" s="53">
        <f>SUM('Bal patrim - Padronizado'!I10,'Bal patrim - Padronizado'!I13,'Bal patrim - Padronizado'!I18,)</f>
        <v>43.214999999999996</v>
      </c>
      <c r="K6" s="53">
        <f>SUM('Bal patrim - Padronizado'!J10,'Bal patrim - Padronizado'!J13,'Bal patrim - Padronizado'!J18,)</f>
        <v>47.296999999999997</v>
      </c>
      <c r="L6" s="53">
        <f>SUM('Bal patrim - Padronizado'!K10,'Bal patrim - Padronizado'!K13,'Bal patrim - Padronizado'!K18,)</f>
        <v>52.175000000000004</v>
      </c>
      <c r="M6" s="53">
        <f>SUM('Bal patrim - Padronizado'!L10,'Bal patrim - Padronizado'!L13,'Bal patrim - Padronizado'!L18,)</f>
        <v>63.12</v>
      </c>
    </row>
    <row r="7" spans="1:13" x14ac:dyDescent="0.25">
      <c r="A7" s="39" t="s">
        <v>408</v>
      </c>
      <c r="B7" s="43" t="s">
        <v>406</v>
      </c>
      <c r="C7" s="39"/>
      <c r="D7" s="54">
        <f>-SUM('Bal patrim - Padronizado'!C38,'Bal patrim - Padronizado'!C47,)</f>
        <v>-6.4550000000000001</v>
      </c>
      <c r="E7" s="54">
        <f>-SUM('Bal patrim - Padronizado'!D38,'Bal patrim - Padronizado'!D47,)</f>
        <v>-3.2249999999999996</v>
      </c>
      <c r="F7" s="54">
        <f>-SUM('Bal patrim - Padronizado'!E38,'Bal patrim - Padronizado'!E47,)</f>
        <v>-1.7260000000000002</v>
      </c>
      <c r="G7" s="54">
        <f>-SUM('Bal patrim - Padronizado'!F38,'Bal patrim - Padronizado'!F47,)</f>
        <v>-1.9249999999999998</v>
      </c>
      <c r="H7" s="54">
        <f>-SUM('Bal patrim - Padronizado'!G38,'Bal patrim - Padronizado'!G47,)</f>
        <v>-3.6549999999999998</v>
      </c>
      <c r="I7" s="54">
        <f>-SUM('Bal patrim - Padronizado'!H38,'Bal patrim - Padronizado'!H47,)</f>
        <v>-6.7610000000000001</v>
      </c>
      <c r="J7" s="54">
        <f>-SUM('Bal patrim - Padronizado'!I38,'Bal patrim - Padronizado'!I47,)</f>
        <v>-10.185</v>
      </c>
      <c r="K7" s="54">
        <f>-SUM('Bal patrim - Padronizado'!J38,'Bal patrim - Padronizado'!J47,)</f>
        <v>-20.362000000000002</v>
      </c>
      <c r="L7" s="54">
        <f>-SUM('Bal patrim - Padronizado'!K38,'Bal patrim - Padronizado'!K47,)</f>
        <v>-16.585999999999999</v>
      </c>
      <c r="M7" s="54">
        <f>-SUM('Bal patrim - Padronizado'!L38,'Bal patrim - Padronizado'!L47,)</f>
        <v>-17.905000000000001</v>
      </c>
    </row>
    <row r="8" spans="1:13" x14ac:dyDescent="0.25">
      <c r="A8" s="32" t="s">
        <v>416</v>
      </c>
      <c r="B8" s="40" t="s">
        <v>417</v>
      </c>
      <c r="C8" s="38"/>
      <c r="D8" s="53">
        <f>SUM(D6:D7)</f>
        <v>25.284999999999997</v>
      </c>
      <c r="E8" s="53">
        <f t="shared" ref="E8:M8" si="0">SUM(E6:E7)</f>
        <v>29.881999999999998</v>
      </c>
      <c r="F8" s="53">
        <f t="shared" si="0"/>
        <v>32.414999999999999</v>
      </c>
      <c r="G8" s="53">
        <f t="shared" si="0"/>
        <v>19.213999999999999</v>
      </c>
      <c r="H8" s="53">
        <f t="shared" si="0"/>
        <v>19.954999999999998</v>
      </c>
      <c r="I8" s="53">
        <f t="shared" si="0"/>
        <v>17.127000000000002</v>
      </c>
      <c r="J8" s="53">
        <f t="shared" si="0"/>
        <v>33.029999999999994</v>
      </c>
      <c r="K8" s="53">
        <f t="shared" si="0"/>
        <v>26.934999999999995</v>
      </c>
      <c r="L8" s="53">
        <f t="shared" si="0"/>
        <v>35.589000000000006</v>
      </c>
      <c r="M8" s="53">
        <f t="shared" si="0"/>
        <v>45.214999999999996</v>
      </c>
    </row>
    <row r="9" spans="1:13" ht="15.75" thickBot="1" x14ac:dyDescent="0.3">
      <c r="A9" s="30" t="s">
        <v>409</v>
      </c>
      <c r="B9" s="44" t="s">
        <v>407</v>
      </c>
      <c r="C9" s="30"/>
      <c r="D9" s="55">
        <f>'Bal patrim - Padronizado'!C34</f>
        <v>15.37</v>
      </c>
      <c r="E9" s="55">
        <f>'Bal patrim - Padronizado'!D34</f>
        <v>18.734999999999999</v>
      </c>
      <c r="F9" s="55">
        <f>'Bal patrim - Padronizado'!E34</f>
        <v>1.7050000000000001</v>
      </c>
      <c r="G9" s="55">
        <f>'Bal patrim - Padronizado'!F34</f>
        <v>153.84899999999999</v>
      </c>
      <c r="H9" s="55">
        <f>'Bal patrim - Padronizado'!G34</f>
        <v>150.29900000000001</v>
      </c>
      <c r="I9" s="55">
        <f>'Bal patrim - Padronizado'!H34</f>
        <v>152.68600000000001</v>
      </c>
      <c r="J9" s="55">
        <f>'Bal patrim - Padronizado'!I34</f>
        <v>215.11099999999999</v>
      </c>
      <c r="K9" s="55">
        <f>'Bal patrim - Padronizado'!J34</f>
        <v>232.09100000000001</v>
      </c>
      <c r="L9" s="55">
        <f>'Bal patrim - Padronizado'!K34</f>
        <v>234.67500000000001</v>
      </c>
      <c r="M9" s="55">
        <f>'Bal patrim - Padronizado'!L34</f>
        <v>272.31599999999997</v>
      </c>
    </row>
    <row r="10" spans="1:13" ht="15.75" thickTop="1" x14ac:dyDescent="0.25">
      <c r="A10" s="32"/>
      <c r="B10" s="41" t="s">
        <v>404</v>
      </c>
      <c r="C10" s="37"/>
      <c r="D10" s="52">
        <f>SUM(D8:D9)</f>
        <v>40.654999999999994</v>
      </c>
      <c r="E10" s="52">
        <f t="shared" ref="E10:M10" si="1">SUM(E8:E9)</f>
        <v>48.616999999999997</v>
      </c>
      <c r="F10" s="52">
        <f t="shared" si="1"/>
        <v>34.119999999999997</v>
      </c>
      <c r="G10" s="52">
        <f t="shared" si="1"/>
        <v>173.06299999999999</v>
      </c>
      <c r="H10" s="52">
        <f t="shared" si="1"/>
        <v>170.25400000000002</v>
      </c>
      <c r="I10" s="52">
        <f t="shared" si="1"/>
        <v>169.81300000000002</v>
      </c>
      <c r="J10" s="52">
        <f t="shared" si="1"/>
        <v>248.14099999999999</v>
      </c>
      <c r="K10" s="52">
        <f t="shared" si="1"/>
        <v>259.02600000000001</v>
      </c>
      <c r="L10" s="52">
        <f t="shared" si="1"/>
        <v>270.26400000000001</v>
      </c>
      <c r="M10" s="52">
        <f t="shared" si="1"/>
        <v>317.53099999999995</v>
      </c>
    </row>
    <row r="11" spans="1:13" ht="8.1" customHeight="1" x14ac:dyDescent="0.25">
      <c r="A11" s="32"/>
      <c r="B11" s="34"/>
      <c r="C11" s="32"/>
      <c r="D11" s="53"/>
      <c r="E11" s="50"/>
      <c r="F11" s="50"/>
      <c r="G11" s="50"/>
      <c r="H11" s="50"/>
      <c r="I11" s="50"/>
      <c r="J11" s="50"/>
      <c r="K11" s="50"/>
      <c r="L11" s="50"/>
      <c r="M11" s="50"/>
    </row>
    <row r="12" spans="1:13" x14ac:dyDescent="0.25">
      <c r="A12" s="32"/>
      <c r="B12" s="42" t="s">
        <v>418</v>
      </c>
      <c r="C12" s="35"/>
      <c r="D12" s="53">
        <f t="shared" ref="D12:M12" si="2">D10-D19</f>
        <v>0</v>
      </c>
      <c r="E12" s="53">
        <f t="shared" si="2"/>
        <v>0</v>
      </c>
      <c r="F12" s="53">
        <f t="shared" si="2"/>
        <v>0</v>
      </c>
      <c r="G12" s="53">
        <f t="shared" si="2"/>
        <v>0</v>
      </c>
      <c r="H12" s="53">
        <f t="shared" si="2"/>
        <v>0</v>
      </c>
      <c r="I12" s="53">
        <f t="shared" si="2"/>
        <v>0</v>
      </c>
      <c r="J12" s="53">
        <f t="shared" si="2"/>
        <v>0</v>
      </c>
      <c r="K12" s="53">
        <f t="shared" si="2"/>
        <v>0</v>
      </c>
      <c r="L12" s="53">
        <f t="shared" si="2"/>
        <v>0</v>
      </c>
      <c r="M12" s="53">
        <f t="shared" si="2"/>
        <v>0</v>
      </c>
    </row>
    <row r="13" spans="1:13" ht="8.1" customHeight="1" x14ac:dyDescent="0.25">
      <c r="A13" s="32"/>
      <c r="B13" s="42"/>
      <c r="C13" s="35"/>
      <c r="D13" s="53"/>
      <c r="E13" s="50"/>
      <c r="F13" s="50"/>
      <c r="G13" s="50"/>
      <c r="H13" s="50"/>
      <c r="I13" s="50"/>
      <c r="J13" s="50"/>
      <c r="K13" s="50"/>
      <c r="L13" s="50"/>
      <c r="M13" s="50"/>
    </row>
    <row r="14" spans="1:13" x14ac:dyDescent="0.25">
      <c r="A14" s="32" t="s">
        <v>409</v>
      </c>
      <c r="B14" s="34" t="s">
        <v>410</v>
      </c>
      <c r="C14" s="32"/>
      <c r="D14" s="53">
        <f>'Bal patrim - Padronizado'!C43</f>
        <v>0.61</v>
      </c>
      <c r="E14" s="53">
        <f>'Bal patrim - Padronizado'!D43</f>
        <v>0.73499999999999999</v>
      </c>
      <c r="F14" s="53">
        <f>'Bal patrim - Padronizado'!E43</f>
        <v>0.73299999999999998</v>
      </c>
      <c r="G14" s="53">
        <f>'Bal patrim - Padronizado'!F43</f>
        <v>0.73099999999999998</v>
      </c>
      <c r="H14" s="53">
        <f>'Bal patrim - Padronizado'!G43</f>
        <v>0.51100000000000001</v>
      </c>
      <c r="I14" s="53">
        <f>'Bal patrim - Padronizado'!H43</f>
        <v>0.20300000000000001</v>
      </c>
      <c r="J14" s="53">
        <f>'Bal patrim - Padronizado'!I43</f>
        <v>0.20200000000000001</v>
      </c>
      <c r="K14" s="53">
        <f>'Bal patrim - Padronizado'!J43</f>
        <v>0.20200000000000001</v>
      </c>
      <c r="L14" s="53">
        <f>'Bal patrim - Padronizado'!K43</f>
        <v>0.13400000000000001</v>
      </c>
      <c r="M14" s="53">
        <f>'Bal patrim - Padronizado'!L43</f>
        <v>8.7999999999999995E-2</v>
      </c>
    </row>
    <row r="15" spans="1:13" x14ac:dyDescent="0.25">
      <c r="A15" s="39" t="s">
        <v>408</v>
      </c>
      <c r="B15" s="43" t="s">
        <v>411</v>
      </c>
      <c r="C15" s="39"/>
      <c r="D15" s="54">
        <f>-'Bal patrim - Padronizado'!C7</f>
        <v>-42.264000000000003</v>
      </c>
      <c r="E15" s="54">
        <f>-'Bal patrim - Padronizado'!D7</f>
        <v>-35.774000000000001</v>
      </c>
      <c r="F15" s="54">
        <f>-'Bal patrim - Padronizado'!E7</f>
        <v>-18.945</v>
      </c>
      <c r="G15" s="54">
        <f>-'Bal patrim - Padronizado'!F7</f>
        <v>-31.212</v>
      </c>
      <c r="H15" s="54">
        <f>-'Bal patrim - Padronizado'!G7</f>
        <v>-51.746000000000002</v>
      </c>
      <c r="I15" s="54">
        <f>-'Bal patrim - Padronizado'!H7</f>
        <v>-31.209</v>
      </c>
      <c r="J15" s="54">
        <f>-'Bal patrim - Padronizado'!I7</f>
        <v>-17.619</v>
      </c>
      <c r="K15" s="54">
        <f>-'Bal patrim - Padronizado'!J7</f>
        <v>-21.331</v>
      </c>
      <c r="L15" s="54">
        <f>-'Bal patrim - Padronizado'!K7</f>
        <v>-2.9359999999999999</v>
      </c>
      <c r="M15" s="54">
        <f>-'Bal patrim - Padronizado'!L7</f>
        <v>-7.3209999999999997</v>
      </c>
    </row>
    <row r="16" spans="1:13" x14ac:dyDescent="0.25">
      <c r="A16" s="32" t="s">
        <v>416</v>
      </c>
      <c r="B16" s="40" t="s">
        <v>402</v>
      </c>
      <c r="C16" s="38"/>
      <c r="D16" s="53">
        <f>SUM(D14:D15)</f>
        <v>-41.654000000000003</v>
      </c>
      <c r="E16" s="53">
        <f t="shared" ref="E16:M16" si="3">SUM(E14:E15)</f>
        <v>-35.039000000000001</v>
      </c>
      <c r="F16" s="53">
        <f t="shared" si="3"/>
        <v>-18.212</v>
      </c>
      <c r="G16" s="53">
        <f t="shared" si="3"/>
        <v>-30.480999999999998</v>
      </c>
      <c r="H16" s="53">
        <f t="shared" si="3"/>
        <v>-51.234999999999999</v>
      </c>
      <c r="I16" s="53">
        <f t="shared" si="3"/>
        <v>-31.006</v>
      </c>
      <c r="J16" s="53">
        <f t="shared" si="3"/>
        <v>-17.416999999999998</v>
      </c>
      <c r="K16" s="53">
        <f t="shared" si="3"/>
        <v>-21.128999999999998</v>
      </c>
      <c r="L16" s="53">
        <f t="shared" si="3"/>
        <v>-2.802</v>
      </c>
      <c r="M16" s="53">
        <f t="shared" si="3"/>
        <v>-7.2329999999999997</v>
      </c>
    </row>
    <row r="17" spans="1:13" x14ac:dyDescent="0.25">
      <c r="A17" s="32" t="s">
        <v>409</v>
      </c>
      <c r="B17" s="34" t="s">
        <v>412</v>
      </c>
      <c r="C17" s="32"/>
      <c r="D17" s="53">
        <f>'Bal patrim - Padronizado'!C62</f>
        <v>3.891</v>
      </c>
      <c r="E17" s="53">
        <f>'Bal patrim - Padronizado'!D62</f>
        <v>7.45</v>
      </c>
      <c r="F17" s="53">
        <f>'Bal patrim - Padronizado'!E62</f>
        <v>7.3970000000000002</v>
      </c>
      <c r="G17" s="53">
        <f>'Bal patrim - Padronizado'!F62</f>
        <v>7.79</v>
      </c>
      <c r="H17" s="53">
        <f>'Bal patrim - Padronizado'!G62</f>
        <v>7.1429999999999998</v>
      </c>
      <c r="I17" s="53">
        <f>'Bal patrim - Padronizado'!H62</f>
        <v>13.36</v>
      </c>
      <c r="J17" s="53">
        <f>'Bal patrim - Padronizado'!I62</f>
        <v>18.04</v>
      </c>
      <c r="K17" s="53">
        <f>'Bal patrim - Padronizado'!J62</f>
        <v>19.422999999999998</v>
      </c>
      <c r="L17" s="53">
        <f>'Bal patrim - Padronizado'!K62</f>
        <v>18.917000000000002</v>
      </c>
      <c r="M17" s="53">
        <f>'Bal patrim - Padronizado'!L62</f>
        <v>71.852000000000004</v>
      </c>
    </row>
    <row r="18" spans="1:13" ht="15.75" thickBot="1" x14ac:dyDescent="0.3">
      <c r="A18" s="30" t="s">
        <v>409</v>
      </c>
      <c r="B18" s="44" t="s">
        <v>413</v>
      </c>
      <c r="C18" s="30"/>
      <c r="D18" s="55">
        <f>'Bal patrim - Padronizado'!C72</f>
        <v>78.418000000000006</v>
      </c>
      <c r="E18" s="55">
        <f>'Bal patrim - Padronizado'!D72</f>
        <v>76.206000000000003</v>
      </c>
      <c r="F18" s="55">
        <f>'Bal patrim - Padronizado'!E72</f>
        <v>44.935000000000002</v>
      </c>
      <c r="G18" s="55">
        <f>'Bal patrim - Padronizado'!F72</f>
        <v>195.75399999999999</v>
      </c>
      <c r="H18" s="55">
        <f>'Bal patrim - Padronizado'!G72</f>
        <v>214.346</v>
      </c>
      <c r="I18" s="55">
        <f>'Bal patrim - Padronizado'!H72</f>
        <v>187.459</v>
      </c>
      <c r="J18" s="55">
        <f>'Bal patrim - Padronizado'!I72</f>
        <v>247.518</v>
      </c>
      <c r="K18" s="55">
        <f>'Bal patrim - Padronizado'!J72</f>
        <v>260.73200000000003</v>
      </c>
      <c r="L18" s="55">
        <f>'Bal patrim - Padronizado'!K72</f>
        <v>254.149</v>
      </c>
      <c r="M18" s="55">
        <f>'Bal patrim - Padronizado'!L72</f>
        <v>252.91200000000001</v>
      </c>
    </row>
    <row r="19" spans="1:13" ht="15.75" thickTop="1" x14ac:dyDescent="0.25">
      <c r="B19" s="41" t="s">
        <v>404</v>
      </c>
      <c r="C19" s="37"/>
      <c r="D19" s="51">
        <f>SUM(D16:D18)</f>
        <v>40.655000000000001</v>
      </c>
      <c r="E19" s="51">
        <f t="shared" ref="E19:M19" si="4">SUM(E16:E18)</f>
        <v>48.617000000000004</v>
      </c>
      <c r="F19" s="51">
        <f t="shared" si="4"/>
        <v>34.120000000000005</v>
      </c>
      <c r="G19" s="51">
        <f t="shared" si="4"/>
        <v>173.06299999999999</v>
      </c>
      <c r="H19" s="51">
        <f t="shared" si="4"/>
        <v>170.25400000000002</v>
      </c>
      <c r="I19" s="51">
        <f t="shared" si="4"/>
        <v>169.81299999999999</v>
      </c>
      <c r="J19" s="51">
        <f t="shared" si="4"/>
        <v>248.14099999999999</v>
      </c>
      <c r="K19" s="51">
        <f t="shared" si="4"/>
        <v>259.02600000000001</v>
      </c>
      <c r="L19" s="51">
        <f t="shared" si="4"/>
        <v>270.26400000000001</v>
      </c>
      <c r="M19" s="51">
        <f t="shared" si="4"/>
        <v>317.53100000000001</v>
      </c>
    </row>
    <row r="20" spans="1:13" ht="8.1" customHeight="1" x14ac:dyDescent="0.25">
      <c r="B20" s="34"/>
      <c r="C20" s="32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 spans="1:13" ht="15.75" thickBot="1" x14ac:dyDescent="0.3">
      <c r="A21" t="s">
        <v>416</v>
      </c>
      <c r="B21" s="70" t="s">
        <v>414</v>
      </c>
      <c r="C21" s="37"/>
      <c r="D21" s="51">
        <v>0</v>
      </c>
      <c r="E21" s="51">
        <f>-(E19-D19)</f>
        <v>-7.9620000000000033</v>
      </c>
      <c r="F21" s="51">
        <f>-(F19-E19)</f>
        <v>14.497</v>
      </c>
      <c r="G21" s="51">
        <f t="shared" ref="G21:M21" si="5">-(G19-F19)</f>
        <v>-138.94299999999998</v>
      </c>
      <c r="H21" s="51">
        <f t="shared" si="5"/>
        <v>2.8089999999999691</v>
      </c>
      <c r="I21" s="51">
        <f t="shared" si="5"/>
        <v>0.44100000000003092</v>
      </c>
      <c r="J21" s="51">
        <f t="shared" si="5"/>
        <v>-78.328000000000003</v>
      </c>
      <c r="K21" s="51">
        <f t="shared" si="5"/>
        <v>-10.885000000000019</v>
      </c>
      <c r="L21" s="51">
        <f t="shared" si="5"/>
        <v>-11.238</v>
      </c>
      <c r="M21" s="51">
        <f t="shared" si="5"/>
        <v>-47.266999999999996</v>
      </c>
    </row>
    <row r="22" spans="1:13" ht="8.1" customHeight="1" x14ac:dyDescent="0.25"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13" ht="15.75" thickBot="1" x14ac:dyDescent="0.3">
      <c r="D23" s="50"/>
      <c r="E23" s="50"/>
      <c r="F23" s="50"/>
      <c r="G23" s="50"/>
      <c r="H23" s="50"/>
      <c r="I23" s="50"/>
      <c r="J23" s="50"/>
      <c r="K23" s="50"/>
      <c r="L23" s="50"/>
      <c r="M23" s="50"/>
    </row>
    <row r="24" spans="1:13" ht="15.75" thickBot="1" x14ac:dyDescent="0.3">
      <c r="B24" s="45" t="s">
        <v>419</v>
      </c>
      <c r="C24" s="35"/>
      <c r="D24" s="51"/>
      <c r="E24" s="50"/>
      <c r="F24" s="50"/>
      <c r="G24" s="50"/>
      <c r="H24" s="50"/>
      <c r="I24" s="50"/>
      <c r="J24" s="50"/>
      <c r="K24" s="50"/>
      <c r="L24" s="50"/>
      <c r="M24" s="50"/>
    </row>
    <row r="25" spans="1:13" x14ac:dyDescent="0.25">
      <c r="B25" s="33"/>
      <c r="C25" s="32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 spans="1:13" x14ac:dyDescent="0.25">
      <c r="A26" t="s">
        <v>409</v>
      </c>
      <c r="B26" s="34" t="s">
        <v>421</v>
      </c>
      <c r="C26" s="32"/>
      <c r="D26" s="50"/>
      <c r="E26" s="50">
        <f>'DRE - Ajustado 3º TRI 2025'!C20</f>
        <v>16.399000000000001</v>
      </c>
      <c r="F26" s="50">
        <f>'DRE - Ajustado 3º TRI 2025'!D20</f>
        <v>12.666</v>
      </c>
      <c r="G26" s="50">
        <f>'DRE - Ajustado 3º TRI 2025'!E20</f>
        <v>22.902999999999999</v>
      </c>
      <c r="H26" s="50">
        <f>'DRE - Ajustado 3º TRI 2025'!F20</f>
        <v>24.960999999999999</v>
      </c>
      <c r="I26" s="50">
        <f>'DRE - Ajustado 3º TRI 2025'!G20</f>
        <v>19.170999999999999</v>
      </c>
      <c r="J26" s="50">
        <f>'DRE - Ajustado 3º TRI 2025'!H20</f>
        <v>103.23</v>
      </c>
      <c r="K26" s="50">
        <f>'DRE - Ajustado 3º TRI 2025'!I20</f>
        <v>38.323</v>
      </c>
      <c r="L26" s="50">
        <f>'DRE - Ajustado 3º TRI 2025'!J20</f>
        <v>30.123000000000001</v>
      </c>
      <c r="M26" s="50">
        <f>'DRE - Ajustado 3º TRI 2025'!K20</f>
        <v>43.628</v>
      </c>
    </row>
    <row r="27" spans="1:13" ht="15.75" thickBot="1" x14ac:dyDescent="0.3">
      <c r="A27" s="30" t="s">
        <v>408</v>
      </c>
      <c r="B27" s="44" t="s">
        <v>422</v>
      </c>
      <c r="C27" s="30"/>
      <c r="D27" s="46"/>
      <c r="E27" s="46">
        <f>'DRE - Ajustado 3º TRI 2025'!C31/'DRE - Ajustado 3º TRI 2025'!C30</f>
        <v>0.32721194142298821</v>
      </c>
      <c r="F27" s="46">
        <f>'DRE - Ajustado 3º TRI 2025'!D31/'DRE - Ajustado 3º TRI 2025'!D30</f>
        <v>0.16240631691648821</v>
      </c>
      <c r="G27" s="46">
        <f>'DRE - Ajustado 3º TRI 2025'!E31/'DRE - Ajustado 3º TRI 2025'!E30</f>
        <v>6.9491874099979437E-2</v>
      </c>
      <c r="H27" s="46">
        <f>'DRE - Ajustado 3º TRI 2025'!F31/'DRE - Ajustado 3º TRI 2025'!F30</f>
        <v>7.6661548585216052E-2</v>
      </c>
      <c r="I27" s="46">
        <f>'DRE - Ajustado 3º TRI 2025'!G31/'DRE - Ajustado 3º TRI 2025'!G30</f>
        <v>8.4462931245412293E-2</v>
      </c>
      <c r="J27" s="46">
        <f>'DRE - Ajustado 3º TRI 2025'!H31/'DRE - Ajustado 3º TRI 2025'!H30</f>
        <v>4.181867055796628E-2</v>
      </c>
      <c r="K27" s="46">
        <f>'DRE - Ajustado 3º TRI 2025'!I31/'DRE - Ajustado 3º TRI 2025'!I30</f>
        <v>8.8876467300167697E-2</v>
      </c>
      <c r="L27" s="46">
        <f>'DRE - Ajustado 3º TRI 2025'!J31/'DRE - Ajustado 3º TRI 2025'!J30</f>
        <v>9.8042911444098893E-2</v>
      </c>
      <c r="M27" s="46">
        <f>'DRE - Ajustado 3º TRI 2025'!K31/'DRE - Ajustado 3º TRI 2025'!K30</f>
        <v>0.23857152446801369</v>
      </c>
    </row>
    <row r="28" spans="1:13" ht="16.5" thickTop="1" thickBot="1" x14ac:dyDescent="0.3">
      <c r="A28" t="s">
        <v>416</v>
      </c>
      <c r="B28" s="49" t="s">
        <v>420</v>
      </c>
      <c r="C28" s="47"/>
      <c r="D28" s="51">
        <f>D26*(1-D27)</f>
        <v>0</v>
      </c>
      <c r="E28" s="51">
        <f t="shared" ref="E28:M28" si="6">E26*(1-E27)</f>
        <v>11.033051372604419</v>
      </c>
      <c r="F28" s="51">
        <f t="shared" si="6"/>
        <v>10.608961589935761</v>
      </c>
      <c r="G28" s="51">
        <f t="shared" si="6"/>
        <v>21.31142760748817</v>
      </c>
      <c r="H28" s="51">
        <f t="shared" si="6"/>
        <v>23.047451085764422</v>
      </c>
      <c r="I28" s="51">
        <f t="shared" si="6"/>
        <v>17.551761145094201</v>
      </c>
      <c r="J28" s="51">
        <f t="shared" si="6"/>
        <v>98.913058638301138</v>
      </c>
      <c r="K28" s="51">
        <f t="shared" si="6"/>
        <v>34.916987143655675</v>
      </c>
      <c r="L28" s="51">
        <f t="shared" si="6"/>
        <v>27.169653378569407</v>
      </c>
      <c r="M28" s="51">
        <f t="shared" si="6"/>
        <v>33.2196015305095</v>
      </c>
    </row>
    <row r="29" spans="1:13" ht="8.1" customHeight="1" x14ac:dyDescent="0.25"/>
    <row r="30" spans="1:13" ht="15" customHeight="1" x14ac:dyDescent="0.25">
      <c r="A30" t="s">
        <v>416</v>
      </c>
      <c r="B30" s="58" t="s">
        <v>424</v>
      </c>
      <c r="C30" s="58"/>
      <c r="D30" s="59">
        <f>SUM(D28,D21)</f>
        <v>0</v>
      </c>
      <c r="E30" s="59">
        <f>SUM(E28,E21)</f>
        <v>3.0710513726044155</v>
      </c>
      <c r="F30" s="59">
        <f t="shared" ref="F30:M30" si="7">SUM(F28,F21)</f>
        <v>25.10596158993576</v>
      </c>
      <c r="G30" s="59">
        <f t="shared" si="7"/>
        <v>-117.63157239251181</v>
      </c>
      <c r="H30" s="59">
        <f t="shared" si="7"/>
        <v>25.856451085764391</v>
      </c>
      <c r="I30" s="59">
        <f t="shared" si="7"/>
        <v>17.992761145094232</v>
      </c>
      <c r="J30" s="59">
        <f t="shared" si="7"/>
        <v>20.585058638301135</v>
      </c>
      <c r="K30" s="59">
        <f t="shared" si="7"/>
        <v>24.031987143655655</v>
      </c>
      <c r="L30" s="59">
        <f t="shared" si="7"/>
        <v>15.931653378569408</v>
      </c>
      <c r="M30" s="59">
        <f t="shared" si="7"/>
        <v>-14.047398469490496</v>
      </c>
    </row>
    <row r="31" spans="1:13" ht="15" customHeight="1" x14ac:dyDescent="0.25"/>
    <row r="32" spans="1:13" ht="15" customHeight="1" x14ac:dyDescent="0.25"/>
    <row r="33" spans="2:18" ht="8.1" customHeight="1" x14ac:dyDescent="0.25"/>
    <row r="34" spans="2:18" x14ac:dyDescent="0.25">
      <c r="B34" s="29" t="s">
        <v>423</v>
      </c>
      <c r="C34" s="48">
        <f>EXP(C35)-1</f>
        <v>0.24223623394472971</v>
      </c>
      <c r="D34" s="48"/>
      <c r="E34" s="48">
        <f t="shared" ref="E34:M34" si="8">E28/D19</f>
        <v>0.27138239755514498</v>
      </c>
      <c r="F34" s="48">
        <f t="shared" si="8"/>
        <v>0.21821506036850816</v>
      </c>
      <c r="G34" s="48">
        <f t="shared" si="8"/>
        <v>0.62460221592872711</v>
      </c>
      <c r="H34" s="48">
        <f t="shared" si="8"/>
        <v>0.13317376380719403</v>
      </c>
      <c r="I34" s="48">
        <f t="shared" si="8"/>
        <v>0.10309162278180953</v>
      </c>
      <c r="J34" s="48">
        <f t="shared" si="8"/>
        <v>0.58248225187883818</v>
      </c>
      <c r="K34" s="48">
        <f t="shared" si="8"/>
        <v>0.14071430011024247</v>
      </c>
      <c r="L34" s="48">
        <f t="shared" si="8"/>
        <v>0.1048916069374094</v>
      </c>
      <c r="M34" s="48">
        <f t="shared" si="8"/>
        <v>0.1229153772996385</v>
      </c>
      <c r="O34" s="48"/>
      <c r="R34" s="26"/>
    </row>
    <row r="35" spans="2:18" x14ac:dyDescent="0.25">
      <c r="B35" s="56" t="s">
        <v>425</v>
      </c>
      <c r="C35" s="57">
        <f>AVERAGE(E35:M35)</f>
        <v>0.21691316988906689</v>
      </c>
      <c r="E35" s="57">
        <f>LN(1+E34)</f>
        <v>0.2401048104936585</v>
      </c>
      <c r="F35" s="57">
        <f t="shared" ref="F35:M35" si="9">LN(1+F34)</f>
        <v>0.19738672214838282</v>
      </c>
      <c r="G35" s="57">
        <f t="shared" si="9"/>
        <v>0.48526299561798369</v>
      </c>
      <c r="H35" s="57">
        <f t="shared" si="9"/>
        <v>0.12502233640051749</v>
      </c>
      <c r="I35" s="57">
        <f t="shared" si="9"/>
        <v>9.8116803713441905E-2</v>
      </c>
      <c r="J35" s="57">
        <f t="shared" si="9"/>
        <v>0.45899465973086256</v>
      </c>
      <c r="K35" s="57">
        <f t="shared" si="9"/>
        <v>0.13165464523178724</v>
      </c>
      <c r="L35" s="57">
        <f t="shared" si="9"/>
        <v>9.9747236888944088E-2</v>
      </c>
      <c r="M35" s="57">
        <f t="shared" si="9"/>
        <v>0.11592831877602376</v>
      </c>
      <c r="R35" s="26"/>
    </row>
    <row r="36" spans="2:18" x14ac:dyDescent="0.25">
      <c r="B36" t="s">
        <v>426</v>
      </c>
      <c r="C36" s="48">
        <f>C38/C34</f>
        <v>1.0591620361042766</v>
      </c>
      <c r="E36" s="48">
        <f t="shared" ref="E36:M36" si="10">E38/E34</f>
        <v>0.72164986195659497</v>
      </c>
      <c r="F36" s="48">
        <f t="shared" si="10"/>
        <v>-1.3664862368577753</v>
      </c>
      <c r="G36" s="48">
        <f t="shared" si="10"/>
        <v>6.5196477007096298</v>
      </c>
      <c r="H36" s="48">
        <f t="shared" si="10"/>
        <v>-0.12187898737899855</v>
      </c>
      <c r="I36" s="48">
        <f t="shared" si="10"/>
        <v>-2.5125683762126892E-2</v>
      </c>
      <c r="J36" s="48">
        <f t="shared" si="10"/>
        <v>0.79188735115779552</v>
      </c>
      <c r="K36" s="48">
        <f t="shared" si="10"/>
        <v>0.31173938218715441</v>
      </c>
      <c r="L36" s="48">
        <f t="shared" si="10"/>
        <v>0.413623237787207</v>
      </c>
      <c r="M36" s="48">
        <f t="shared" si="10"/>
        <v>1.4228647491930058</v>
      </c>
      <c r="R36" s="26"/>
    </row>
    <row r="37" spans="2:18" x14ac:dyDescent="0.25">
      <c r="B37" s="29" t="s">
        <v>427</v>
      </c>
      <c r="C37" s="48">
        <f>C34*C36</f>
        <v>0.25656742276313182</v>
      </c>
      <c r="E37" s="48">
        <f t="shared" ref="E37:M37" si="11">E34*E36</f>
        <v>0.19584306973312016</v>
      </c>
      <c r="F37" s="48">
        <f t="shared" si="11"/>
        <v>-0.29818787666865498</v>
      </c>
      <c r="G37" s="48">
        <f t="shared" si="11"/>
        <v>4.0721864009378654</v>
      </c>
      <c r="H37" s="48">
        <f t="shared" si="11"/>
        <v>-1.6231083478270736E-2</v>
      </c>
      <c r="I37" s="48">
        <f t="shared" si="11"/>
        <v>-2.5902475125402225E-3</v>
      </c>
      <c r="J37" s="48">
        <f t="shared" si="11"/>
        <v>0.46126032753676105</v>
      </c>
      <c r="K37" s="48">
        <f t="shared" si="11"/>
        <v>4.386618898126482E-2</v>
      </c>
      <c r="L37" s="48">
        <f t="shared" si="11"/>
        <v>4.3385606078154337E-2</v>
      </c>
      <c r="M37" s="48">
        <f t="shared" si="11"/>
        <v>0.1748919574934138</v>
      </c>
      <c r="R37" s="26"/>
    </row>
    <row r="38" spans="2:18" x14ac:dyDescent="0.25">
      <c r="B38" s="29" t="s">
        <v>428</v>
      </c>
      <c r="C38" s="48">
        <f>EXP(C39)-1</f>
        <v>0.25656742276313182</v>
      </c>
      <c r="D38" s="26"/>
      <c r="E38" s="48">
        <f t="shared" ref="E38:M38" si="12">E19/D19-1</f>
        <v>0.19584306973312016</v>
      </c>
      <c r="F38" s="48">
        <f t="shared" si="12"/>
        <v>-0.29818787666865498</v>
      </c>
      <c r="G38" s="48">
        <f t="shared" si="12"/>
        <v>4.0721864009378654</v>
      </c>
      <c r="H38" s="48">
        <f t="shared" si="12"/>
        <v>-1.6231083478270736E-2</v>
      </c>
      <c r="I38" s="48">
        <f t="shared" si="12"/>
        <v>-2.5902475125402225E-3</v>
      </c>
      <c r="J38" s="48">
        <f t="shared" si="12"/>
        <v>0.46126032753676105</v>
      </c>
      <c r="K38" s="48">
        <f t="shared" si="12"/>
        <v>4.386618898126482E-2</v>
      </c>
      <c r="L38" s="48">
        <f t="shared" si="12"/>
        <v>4.3385606078154337E-2</v>
      </c>
      <c r="M38" s="48">
        <f t="shared" si="12"/>
        <v>0.1748919574934138</v>
      </c>
      <c r="R38" s="26"/>
    </row>
    <row r="39" spans="2:18" x14ac:dyDescent="0.25">
      <c r="B39" s="56" t="s">
        <v>431</v>
      </c>
      <c r="C39" s="57">
        <f>AVERAGE(E39:M39)</f>
        <v>0.22838373574466242</v>
      </c>
      <c r="E39" s="57">
        <f>LN(1+E38)</f>
        <v>0.17885143432158837</v>
      </c>
      <c r="F39" s="57">
        <f t="shared" ref="F39:M39" si="13">LN(1+F38)</f>
        <v>-0.35408954135791082</v>
      </c>
      <c r="G39" s="57">
        <f t="shared" si="13"/>
        <v>1.6237719674331783</v>
      </c>
      <c r="H39" s="57">
        <f t="shared" si="13"/>
        <v>-1.6364250442535491E-2</v>
      </c>
      <c r="I39" s="57">
        <f t="shared" si="13"/>
        <v>-2.5936080078924869E-3</v>
      </c>
      <c r="J39" s="57">
        <f t="shared" si="13"/>
        <v>0.37929930138345042</v>
      </c>
      <c r="K39" s="57">
        <f t="shared" si="13"/>
        <v>4.2931309771897415E-2</v>
      </c>
      <c r="L39" s="57">
        <f t="shared" si="13"/>
        <v>4.2470816301257694E-2</v>
      </c>
      <c r="M39" s="57">
        <f t="shared" si="13"/>
        <v>0.16117619229892846</v>
      </c>
      <c r="R39" s="26"/>
    </row>
    <row r="40" spans="2:18" x14ac:dyDescent="0.25">
      <c r="R40" s="26"/>
    </row>
    <row r="41" spans="2:18" x14ac:dyDescent="0.25">
      <c r="B41" s="29" t="s">
        <v>49</v>
      </c>
      <c r="E41" s="51">
        <f>'DRE - Ajustado 3º TRI 2025'!C6</f>
        <v>31.353000000000002</v>
      </c>
      <c r="F41" s="51">
        <f>'DRE - Ajustado 3º TRI 2025'!D6</f>
        <v>23.646000000000001</v>
      </c>
      <c r="G41" s="51">
        <f>'DRE - Ajustado 3º TRI 2025'!E6</f>
        <v>33.683999999999997</v>
      </c>
      <c r="H41" s="51">
        <f>'DRE - Ajustado 3º TRI 2025'!F6</f>
        <v>38.621000000000002</v>
      </c>
      <c r="I41" s="51">
        <f>'DRE - Ajustado 3º TRI 2025'!G6</f>
        <v>35.93</v>
      </c>
      <c r="J41" s="51">
        <f>'DRE - Ajustado 3º TRI 2025'!H6</f>
        <v>120.319</v>
      </c>
      <c r="K41" s="51">
        <f>'DRE - Ajustado 3º TRI 2025'!I6</f>
        <v>72.058000000000007</v>
      </c>
      <c r="L41" s="51">
        <f>'DRE - Ajustado 3º TRI 2025'!J6</f>
        <v>67.307000000000002</v>
      </c>
      <c r="M41" s="51">
        <f>'DRE - Ajustado 3º TRI 2025'!K6</f>
        <v>85.998999999999995</v>
      </c>
      <c r="R41" s="26"/>
    </row>
    <row r="42" spans="2:18" x14ac:dyDescent="0.25">
      <c r="B42" s="29" t="s">
        <v>429</v>
      </c>
      <c r="C42" s="48">
        <f>EXP(C43)-1</f>
        <v>0.13442760846026358</v>
      </c>
      <c r="D42" s="63" t="s">
        <v>438</v>
      </c>
      <c r="E42" s="63" t="s">
        <v>438</v>
      </c>
      <c r="F42" s="48">
        <f>F41/E41-1</f>
        <v>-0.24581379772270595</v>
      </c>
      <c r="G42" s="48">
        <f t="shared" ref="G42:M42" si="14">G41/F41-1</f>
        <v>0.42451154529307278</v>
      </c>
      <c r="H42" s="48">
        <f t="shared" si="14"/>
        <v>0.14656810355064742</v>
      </c>
      <c r="I42" s="48">
        <f t="shared" si="14"/>
        <v>-6.9677118666010784E-2</v>
      </c>
      <c r="J42" s="48">
        <f t="shared" si="14"/>
        <v>2.3487058168661288</v>
      </c>
      <c r="K42" s="48">
        <f t="shared" si="14"/>
        <v>-0.4011087193211379</v>
      </c>
      <c r="L42" s="48">
        <f t="shared" si="14"/>
        <v>-6.5932998417941202E-2</v>
      </c>
      <c r="M42" s="48">
        <f t="shared" si="14"/>
        <v>0.27771257075787048</v>
      </c>
      <c r="R42" s="26"/>
    </row>
    <row r="43" spans="2:18" x14ac:dyDescent="0.25">
      <c r="B43" s="56" t="s">
        <v>430</v>
      </c>
      <c r="C43" s="57">
        <f>AVERAGE(F43:M43)</f>
        <v>0.12612821399980628</v>
      </c>
      <c r="D43" s="63" t="s">
        <v>438</v>
      </c>
      <c r="E43" s="63" t="s">
        <v>438</v>
      </c>
      <c r="F43" s="57">
        <f t="shared" ref="F43" si="15">LN(1+F42)</f>
        <v>-0.28211598883955469</v>
      </c>
      <c r="G43" s="57">
        <f t="shared" ref="G43" si="16">LN(1+G42)</f>
        <v>0.35382897972682409</v>
      </c>
      <c r="H43" s="57">
        <f t="shared" ref="H43" si="17">LN(1+H42)</f>
        <v>0.1367732228169202</v>
      </c>
      <c r="I43" s="57">
        <f t="shared" ref="I43" si="18">LN(1+I42)</f>
        <v>-7.2223568859238446E-2</v>
      </c>
      <c r="J43" s="57">
        <f t="shared" ref="J43" si="19">LN(1+J42)</f>
        <v>1.2085739478713518</v>
      </c>
      <c r="K43" s="57">
        <f t="shared" ref="K43" si="20">LN(1+K42)</f>
        <v>-0.51267519871090272</v>
      </c>
      <c r="L43" s="57">
        <f t="shared" ref="L43" si="21">LN(1+L42)</f>
        <v>-6.8207107156982541E-2</v>
      </c>
      <c r="M43" s="57">
        <f t="shared" ref="M43" si="22">LN(1+M42)</f>
        <v>0.24507142515003255</v>
      </c>
    </row>
    <row r="44" spans="2:18" x14ac:dyDescent="0.25">
      <c r="R44" s="26"/>
    </row>
    <row r="45" spans="2:18" x14ac:dyDescent="0.25">
      <c r="B45" s="60" t="s">
        <v>432</v>
      </c>
      <c r="C45" s="61">
        <v>0.151</v>
      </c>
    </row>
    <row r="46" spans="2:18" x14ac:dyDescent="0.25">
      <c r="R46" s="26"/>
    </row>
    <row r="47" spans="2:18" x14ac:dyDescent="0.25">
      <c r="B47" s="63" t="s">
        <v>439</v>
      </c>
    </row>
    <row r="48" spans="2:18" x14ac:dyDescent="0.25">
      <c r="R48" s="26"/>
    </row>
    <row r="50" spans="18:18" x14ac:dyDescent="0.25">
      <c r="R50" s="26"/>
    </row>
  </sheetData>
  <conditionalFormatting sqref="D21:M21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D9:M9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6452-FF4E-46A0-AB29-FD4335A292A0}">
  <sheetPr>
    <tabColor theme="3" tint="0.79998168889431442"/>
  </sheetPr>
  <dimension ref="A1:U32"/>
  <sheetViews>
    <sheetView showGridLines="0" workbookViewId="0">
      <selection activeCell="F17" sqref="F17"/>
    </sheetView>
  </sheetViews>
  <sheetFormatPr defaultRowHeight="15" x14ac:dyDescent="0.25"/>
  <cols>
    <col min="2" max="2" width="32.5703125" bestFit="1" customWidth="1"/>
    <col min="3" max="3" width="10.7109375" customWidth="1"/>
    <col min="4" max="11" width="10.140625" bestFit="1" customWidth="1"/>
    <col min="12" max="12" width="15" bestFit="1" customWidth="1"/>
    <col min="13" max="14" width="10.140625" customWidth="1"/>
    <col min="15" max="15" width="15.28515625" bestFit="1" customWidth="1"/>
    <col min="16" max="16" width="10.140625" customWidth="1"/>
  </cols>
  <sheetData>
    <row r="1" spans="1:17" x14ac:dyDescent="0.25">
      <c r="B1" s="31" t="s">
        <v>415</v>
      </c>
      <c r="C1" s="31"/>
      <c r="D1" s="27">
        <v>2017</v>
      </c>
      <c r="E1" s="27">
        <v>2018</v>
      </c>
      <c r="F1" s="27">
        <v>2019</v>
      </c>
      <c r="G1" s="27">
        <v>2020</v>
      </c>
      <c r="H1" s="27">
        <v>2021</v>
      </c>
      <c r="I1" s="27">
        <v>2022</v>
      </c>
      <c r="J1" s="27">
        <v>2023</v>
      </c>
      <c r="K1" s="226">
        <v>2024</v>
      </c>
      <c r="L1" s="228" t="s">
        <v>1067</v>
      </c>
      <c r="O1" s="27" t="s">
        <v>877</v>
      </c>
      <c r="P1" s="27" t="s">
        <v>878</v>
      </c>
    </row>
    <row r="2" spans="1:17" x14ac:dyDescent="0.25">
      <c r="D2" s="28" t="s">
        <v>11</v>
      </c>
      <c r="E2" s="28" t="s">
        <v>12</v>
      </c>
      <c r="F2" s="28" t="s">
        <v>13</v>
      </c>
      <c r="G2" s="28" t="s">
        <v>14</v>
      </c>
      <c r="H2" s="28" t="s">
        <v>15</v>
      </c>
      <c r="I2" s="28" t="s">
        <v>16</v>
      </c>
      <c r="J2" s="28" t="s">
        <v>17</v>
      </c>
      <c r="K2" s="227" t="s">
        <v>18</v>
      </c>
      <c r="L2" s="229" t="s">
        <v>824</v>
      </c>
      <c r="O2" s="5" t="s">
        <v>824</v>
      </c>
      <c r="P2" s="5" t="s">
        <v>824</v>
      </c>
    </row>
    <row r="3" spans="1:17" ht="15.75" thickBot="1" x14ac:dyDescent="0.3">
      <c r="L3" s="230"/>
    </row>
    <row r="4" spans="1:17" ht="15.75" thickBot="1" x14ac:dyDescent="0.3">
      <c r="B4" s="45" t="s">
        <v>403</v>
      </c>
      <c r="C4" s="35"/>
      <c r="L4" s="230"/>
    </row>
    <row r="5" spans="1:17" x14ac:dyDescent="0.25">
      <c r="B5" s="34"/>
      <c r="C5" s="32"/>
      <c r="L5" s="230"/>
    </row>
    <row r="6" spans="1:17" x14ac:dyDescent="0.25">
      <c r="A6" s="32"/>
      <c r="B6" s="34" t="s">
        <v>452</v>
      </c>
      <c r="C6" s="32"/>
      <c r="D6" s="53">
        <f>'Bal patrim - Padronizado'!E43</f>
        <v>0.73299999999999998</v>
      </c>
      <c r="E6" s="53">
        <f>'Bal patrim - Padronizado'!F43</f>
        <v>0.73099999999999998</v>
      </c>
      <c r="F6" s="53">
        <f>'Bal patrim - Padronizado'!G43</f>
        <v>0.51100000000000001</v>
      </c>
      <c r="G6" s="53">
        <f>'Bal patrim - Padronizado'!H43</f>
        <v>0.20300000000000001</v>
      </c>
      <c r="H6" s="53">
        <f>'Bal patrim - Padronizado'!I43</f>
        <v>0.20200000000000001</v>
      </c>
      <c r="I6" s="53">
        <f>'Bal patrim - Padronizado'!J43</f>
        <v>0.20200000000000001</v>
      </c>
      <c r="J6" s="53">
        <f>'Bal patrim - Padronizado'!K43</f>
        <v>0.13400000000000001</v>
      </c>
      <c r="K6" s="53">
        <f>'Bal patrim - Padronizado'!L43</f>
        <v>8.7999999999999995E-2</v>
      </c>
      <c r="L6" s="231">
        <f>O6/1000</f>
        <v>1.0489999999999999</v>
      </c>
      <c r="M6" s="53"/>
      <c r="N6" s="53"/>
      <c r="O6" s="108">
        <v>1049</v>
      </c>
      <c r="P6" s="53" t="str">
        <f>TRIM('Bal patrim B3 - 3º TRI 2025'!C24)</f>
        <v> 1.049 </v>
      </c>
    </row>
    <row r="7" spans="1:17" x14ac:dyDescent="0.25">
      <c r="A7" s="39"/>
      <c r="B7" s="43" t="s">
        <v>453</v>
      </c>
      <c r="C7" s="39"/>
      <c r="D7" s="54">
        <f>'Bal patrim - Padronizado'!E52</f>
        <v>1.972</v>
      </c>
      <c r="E7" s="54">
        <f>'Bal patrim - Padronizado'!F52</f>
        <v>1.2450000000000001</v>
      </c>
      <c r="F7" s="54">
        <f>'Bal patrim - Padronizado'!G52</f>
        <v>0.73699999999999999</v>
      </c>
      <c r="G7" s="54">
        <f>'Bal patrim - Padronizado'!H52</f>
        <v>0.53600000000000003</v>
      </c>
      <c r="H7" s="54">
        <f>'Bal patrim - Padronizado'!I52</f>
        <v>0.33500000000000002</v>
      </c>
      <c r="I7" s="54">
        <f>'Bal patrim - Padronizado'!J52</f>
        <v>0.13400000000000001</v>
      </c>
      <c r="J7" s="54">
        <f>'Bal patrim - Padronizado'!K52</f>
        <v>0</v>
      </c>
      <c r="K7" s="54">
        <f>'Bal patrim - Padronizado'!L52</f>
        <v>30.706</v>
      </c>
      <c r="L7" s="232">
        <f>O7/1000</f>
        <v>26.373000000000001</v>
      </c>
      <c r="M7" s="83"/>
      <c r="N7" s="83"/>
      <c r="O7" s="109">
        <v>26373</v>
      </c>
      <c r="P7" s="54" t="str">
        <f>TRIM('Bal patrim B3 - 3º TRI 2025'!C58)</f>
        <v> 26.373 </v>
      </c>
    </row>
    <row r="8" spans="1:17" x14ac:dyDescent="0.25">
      <c r="A8" s="32" t="s">
        <v>416</v>
      </c>
      <c r="B8" s="34" t="s">
        <v>880</v>
      </c>
      <c r="C8" s="32"/>
      <c r="D8" s="53">
        <f>SUM(D6:D7)</f>
        <v>2.7050000000000001</v>
      </c>
      <c r="E8" s="53">
        <f t="shared" ref="E8:P8" si="0">SUM(E6:E7)</f>
        <v>1.976</v>
      </c>
      <c r="F8" s="53">
        <f t="shared" si="0"/>
        <v>1.248</v>
      </c>
      <c r="G8" s="53">
        <f t="shared" si="0"/>
        <v>0.7390000000000001</v>
      </c>
      <c r="H8" s="53">
        <f t="shared" si="0"/>
        <v>0.53700000000000003</v>
      </c>
      <c r="I8" s="53">
        <f t="shared" si="0"/>
        <v>0.33600000000000002</v>
      </c>
      <c r="J8" s="53">
        <f t="shared" si="0"/>
        <v>0.13400000000000001</v>
      </c>
      <c r="K8" s="53">
        <f t="shared" si="0"/>
        <v>30.794</v>
      </c>
      <c r="L8" s="245">
        <f>SUM(L6:L7)</f>
        <v>27.422000000000001</v>
      </c>
      <c r="M8" s="83"/>
      <c r="N8" s="83"/>
      <c r="O8" s="108">
        <f t="shared" si="0"/>
        <v>27422</v>
      </c>
      <c r="P8" s="53">
        <f t="shared" si="0"/>
        <v>0</v>
      </c>
    </row>
    <row r="9" spans="1:17" ht="15.75" thickBot="1" x14ac:dyDescent="0.3">
      <c r="A9" s="30"/>
      <c r="B9" s="44" t="s">
        <v>19</v>
      </c>
      <c r="C9" s="30"/>
      <c r="D9" s="55">
        <v>313.53250000000003</v>
      </c>
      <c r="E9" s="55">
        <v>350.12180000000001</v>
      </c>
      <c r="F9" s="55">
        <v>698.98180000000002</v>
      </c>
      <c r="G9" s="55">
        <v>622.0181</v>
      </c>
      <c r="H9" s="55">
        <v>559.56399999999996</v>
      </c>
      <c r="I9" s="55">
        <v>584.798</v>
      </c>
      <c r="J9" s="55">
        <v>541.90020000000004</v>
      </c>
      <c r="K9" s="55">
        <v>451.05779999999999</v>
      </c>
      <c r="L9" s="233">
        <v>455.47153400000002</v>
      </c>
      <c r="M9" s="83"/>
      <c r="N9" s="83"/>
      <c r="O9" s="108"/>
      <c r="P9" s="107"/>
    </row>
    <row r="10" spans="1:17" ht="16.5" thickTop="1" thickBot="1" x14ac:dyDescent="0.3">
      <c r="A10" s="32"/>
      <c r="B10" s="41" t="s">
        <v>679</v>
      </c>
      <c r="C10" s="37"/>
      <c r="D10" s="93">
        <f>D8/(D8+D9)</f>
        <v>8.5536977746155981E-3</v>
      </c>
      <c r="E10" s="93">
        <f t="shared" ref="E10:K10" si="1">E8/(E8+E9)</f>
        <v>5.6120770990332799E-3</v>
      </c>
      <c r="F10" s="93">
        <f t="shared" si="1"/>
        <v>1.7822720484046808E-3</v>
      </c>
      <c r="G10" s="93">
        <f t="shared" si="1"/>
        <v>1.1866584901239986E-3</v>
      </c>
      <c r="H10" s="93">
        <f t="shared" si="1"/>
        <v>9.587556529982986E-4</v>
      </c>
      <c r="I10" s="93">
        <f t="shared" si="1"/>
        <v>5.7422744191928693E-4</v>
      </c>
      <c r="J10" s="93">
        <f t="shared" si="1"/>
        <v>2.4721687303125891E-4</v>
      </c>
      <c r="K10" s="93">
        <f t="shared" si="1"/>
        <v>6.3907616408198545E-2</v>
      </c>
      <c r="L10" s="234">
        <f>L8/(L8+L9)</f>
        <v>5.6786844447579615E-2</v>
      </c>
      <c r="M10" s="83"/>
      <c r="N10" s="83"/>
      <c r="O10" s="83"/>
      <c r="P10" s="83"/>
    </row>
    <row r="11" spans="1:17" ht="15" customHeight="1" thickBot="1" x14ac:dyDescent="0.3">
      <c r="B11" s="87" t="s">
        <v>456</v>
      </c>
      <c r="C11" s="92"/>
      <c r="D11" s="237">
        <f>D9/(D8+D9)</f>
        <v>0.99144630222538443</v>
      </c>
      <c r="E11" s="237">
        <f t="shared" ref="E11:K11" si="2">E9/(E8+E9)</f>
        <v>0.99438792290096667</v>
      </c>
      <c r="F11" s="237">
        <f t="shared" si="2"/>
        <v>0.99821772795159525</v>
      </c>
      <c r="G11" s="237">
        <f t="shared" si="2"/>
        <v>0.998813341509876</v>
      </c>
      <c r="H11" s="237">
        <f t="shared" si="2"/>
        <v>0.99904124434700159</v>
      </c>
      <c r="I11" s="237">
        <f t="shared" si="2"/>
        <v>0.99942577255808074</v>
      </c>
      <c r="J11" s="237">
        <f t="shared" si="2"/>
        <v>0.99975278312696869</v>
      </c>
      <c r="K11" s="237">
        <f t="shared" si="2"/>
        <v>0.93609238359180147</v>
      </c>
      <c r="L11" s="238">
        <f>L9/(L8+L9)</f>
        <v>0.94321315555242036</v>
      </c>
      <c r="M11" s="83"/>
      <c r="N11" s="83"/>
      <c r="O11" s="83"/>
      <c r="P11" s="83"/>
    </row>
    <row r="12" spans="1:17" ht="15" customHeight="1" thickBot="1" x14ac:dyDescent="0.3">
      <c r="D12" s="50"/>
      <c r="E12" s="50"/>
      <c r="F12" s="50"/>
      <c r="G12" s="50"/>
      <c r="H12" s="50"/>
      <c r="I12" s="50"/>
      <c r="J12" s="50"/>
      <c r="K12" s="50"/>
      <c r="L12" s="231"/>
      <c r="M12" s="50"/>
      <c r="N12" s="50"/>
      <c r="O12" s="83"/>
      <c r="P12" s="83"/>
    </row>
    <row r="13" spans="1:17" ht="15.75" thickBot="1" x14ac:dyDescent="0.3">
      <c r="B13" s="45" t="s">
        <v>457</v>
      </c>
      <c r="C13" s="35"/>
      <c r="L13" s="230"/>
      <c r="O13" s="83"/>
      <c r="P13" s="83"/>
    </row>
    <row r="14" spans="1:17" x14ac:dyDescent="0.25">
      <c r="B14" s="34"/>
      <c r="C14" s="32"/>
      <c r="L14" s="230"/>
      <c r="O14" s="83"/>
      <c r="P14" s="83"/>
    </row>
    <row r="15" spans="1:17" x14ac:dyDescent="0.25">
      <c r="A15" s="39"/>
      <c r="B15" s="43" t="s">
        <v>458</v>
      </c>
      <c r="C15" s="39"/>
      <c r="D15" s="53">
        <f>('DRE - Ajustado 3º TRI 2025'!D23)</f>
        <v>0.157</v>
      </c>
      <c r="E15" s="53">
        <f>('DRE - Ajustado 3º TRI 2025'!E23)</f>
        <v>0.121</v>
      </c>
      <c r="F15" s="53">
        <f>('DRE - Ajustado 3º TRI 2025'!F23)</f>
        <v>8.5999999999999993E-2</v>
      </c>
      <c r="G15" s="53">
        <f>('DRE - Ajustado 3º TRI 2025'!G23)</f>
        <v>5.2999999999999999E-2</v>
      </c>
      <c r="H15" s="53">
        <f>('DRE - Ajustado 3º TRI 2025'!H23)</f>
        <v>3.6999999999999998E-2</v>
      </c>
      <c r="I15" s="53">
        <f>('DRE - Ajustado 3º TRI 2025'!I23)</f>
        <v>2.5000000000000001E-2</v>
      </c>
      <c r="J15" s="53">
        <f>('DRE - Ajustado 3º TRI 2025'!J23)</f>
        <v>1.4E-2</v>
      </c>
      <c r="K15" s="53">
        <f>('DRE - Ajustado 3º TRI 2025'!K23)</f>
        <v>0.105</v>
      </c>
      <c r="L15" s="231">
        <f>('DRE - Ajustado 3º TRI 2025'!L23)</f>
        <v>1.3129999999999999</v>
      </c>
      <c r="M15" s="53"/>
      <c r="N15" s="53"/>
      <c r="O15" s="83"/>
      <c r="P15" s="83"/>
      <c r="Q15" s="97"/>
    </row>
    <row r="16" spans="1:17" ht="15.75" thickBot="1" x14ac:dyDescent="0.3">
      <c r="A16" s="94"/>
      <c r="B16" s="95" t="s">
        <v>459</v>
      </c>
      <c r="C16" s="94"/>
      <c r="D16" s="96">
        <f>D15</f>
        <v>0.157</v>
      </c>
      <c r="E16" s="96">
        <f t="shared" ref="E16:K16" si="3">E15</f>
        <v>0.121</v>
      </c>
      <c r="F16" s="96">
        <f t="shared" si="3"/>
        <v>8.5999999999999993E-2</v>
      </c>
      <c r="G16" s="96">
        <f t="shared" si="3"/>
        <v>5.2999999999999999E-2</v>
      </c>
      <c r="H16" s="96">
        <f t="shared" si="3"/>
        <v>3.6999999999999998E-2</v>
      </c>
      <c r="I16" s="96">
        <f t="shared" si="3"/>
        <v>2.5000000000000001E-2</v>
      </c>
      <c r="J16" s="96">
        <f t="shared" si="3"/>
        <v>1.4E-2</v>
      </c>
      <c r="K16" s="96">
        <f t="shared" si="3"/>
        <v>0.105</v>
      </c>
      <c r="L16" s="235">
        <f>L15</f>
        <v>1.3129999999999999</v>
      </c>
      <c r="M16" s="96"/>
      <c r="N16" s="96"/>
      <c r="O16" s="83"/>
      <c r="P16" s="83"/>
    </row>
    <row r="17" spans="1:21" ht="16.5" thickTop="1" thickBot="1" x14ac:dyDescent="0.3">
      <c r="A17" s="32"/>
      <c r="B17" s="88" t="s">
        <v>820</v>
      </c>
      <c r="C17" s="37"/>
      <c r="D17" s="93">
        <f t="shared" ref="D17:K17" si="4">D16/D8</f>
        <v>5.8040665434380773E-2</v>
      </c>
      <c r="E17" s="93">
        <f t="shared" si="4"/>
        <v>6.1234817813765184E-2</v>
      </c>
      <c r="F17" s="93">
        <f t="shared" si="4"/>
        <v>6.8910256410256401E-2</v>
      </c>
      <c r="G17" s="93">
        <f t="shared" si="4"/>
        <v>7.1718538565629222E-2</v>
      </c>
      <c r="H17" s="93">
        <f t="shared" si="4"/>
        <v>6.8901303538175043E-2</v>
      </c>
      <c r="I17" s="93">
        <f t="shared" si="4"/>
        <v>7.4404761904761904E-2</v>
      </c>
      <c r="J17" s="93">
        <f t="shared" si="4"/>
        <v>0.1044776119402985</v>
      </c>
      <c r="K17" s="93">
        <f t="shared" si="4"/>
        <v>3.4097551471065791E-3</v>
      </c>
      <c r="L17" s="234">
        <f>L16/L8</f>
        <v>4.7881263219312957E-2</v>
      </c>
      <c r="M17" s="93"/>
      <c r="N17" s="93"/>
      <c r="O17" s="93"/>
      <c r="P17" s="93"/>
    </row>
    <row r="18" spans="1:21" ht="15" customHeight="1" x14ac:dyDescent="0.25">
      <c r="D18" s="50"/>
      <c r="E18" s="50"/>
      <c r="F18" s="50"/>
      <c r="G18" s="50"/>
      <c r="H18" s="50"/>
      <c r="I18" s="50"/>
      <c r="J18" s="50"/>
      <c r="K18" s="50"/>
      <c r="L18" s="231"/>
      <c r="M18" s="50"/>
      <c r="N18" s="50"/>
      <c r="O18" s="50"/>
      <c r="P18" s="50"/>
    </row>
    <row r="19" spans="1:21" ht="15" customHeight="1" thickBot="1" x14ac:dyDescent="0.3">
      <c r="D19" s="50"/>
      <c r="E19" s="50"/>
      <c r="F19" s="50"/>
      <c r="G19" s="50"/>
      <c r="H19" s="50"/>
      <c r="I19" s="50"/>
      <c r="J19" s="50"/>
      <c r="K19" s="50"/>
      <c r="L19" s="231"/>
      <c r="M19" s="50"/>
      <c r="N19" s="50"/>
      <c r="O19" s="50"/>
      <c r="P19" s="50"/>
    </row>
    <row r="20" spans="1:21" ht="15" customHeight="1" thickBot="1" x14ac:dyDescent="0.3">
      <c r="B20" s="110" t="s">
        <v>461</v>
      </c>
      <c r="C20" s="111">
        <f>C26+(C27*(C28-C26))</f>
        <v>0.15149278299999999</v>
      </c>
      <c r="D20" s="50"/>
      <c r="E20" s="50"/>
      <c r="F20" s="50"/>
      <c r="G20" s="50"/>
      <c r="H20" s="50"/>
      <c r="I20" s="50"/>
      <c r="J20" s="50"/>
      <c r="K20" s="50"/>
      <c r="L20" s="231"/>
      <c r="M20" s="50"/>
      <c r="N20" s="50"/>
      <c r="O20" s="50"/>
      <c r="P20" s="50"/>
    </row>
    <row r="21" spans="1:21" ht="15" customHeight="1" x14ac:dyDescent="0.25">
      <c r="B21" s="98" t="s">
        <v>460</v>
      </c>
      <c r="D21" s="50"/>
      <c r="E21" s="50"/>
      <c r="F21" s="50"/>
      <c r="G21" s="50"/>
      <c r="H21" s="50"/>
      <c r="I21" s="50"/>
      <c r="J21" s="50"/>
      <c r="K21" s="50"/>
      <c r="L21" s="231"/>
      <c r="M21" s="50"/>
      <c r="N21" s="50"/>
      <c r="O21" s="50"/>
      <c r="P21" s="50"/>
    </row>
    <row r="22" spans="1:21" ht="15" customHeight="1" x14ac:dyDescent="0.25">
      <c r="D22" s="50"/>
      <c r="E22" s="50"/>
      <c r="F22" s="50"/>
      <c r="G22" s="50"/>
      <c r="H22" s="50"/>
      <c r="I22" s="50"/>
      <c r="J22" s="50"/>
      <c r="K22" s="50"/>
      <c r="L22" s="231"/>
      <c r="M22" s="50"/>
      <c r="N22" s="50"/>
      <c r="O22" s="50"/>
      <c r="P22" s="50"/>
    </row>
    <row r="23" spans="1:21" ht="15" customHeight="1" x14ac:dyDescent="0.25">
      <c r="B23" t="s">
        <v>674</v>
      </c>
      <c r="D23" s="50"/>
      <c r="E23" s="50"/>
      <c r="F23" s="50"/>
      <c r="G23" s="50"/>
      <c r="H23" s="50"/>
      <c r="I23" s="50"/>
      <c r="J23" s="50"/>
      <c r="K23" s="50"/>
      <c r="L23" s="231"/>
      <c r="M23" s="50"/>
      <c r="N23" s="50"/>
      <c r="O23" s="50"/>
      <c r="P23" s="50"/>
    </row>
    <row r="24" spans="1:21" ht="15" customHeight="1" thickBot="1" x14ac:dyDescent="0.3">
      <c r="D24" s="50"/>
      <c r="E24" s="50"/>
      <c r="F24" s="50"/>
      <c r="G24" s="50"/>
      <c r="H24" s="50"/>
      <c r="I24" s="50"/>
      <c r="J24" s="50"/>
      <c r="K24" s="50"/>
      <c r="L24" s="231"/>
      <c r="M24" s="50"/>
      <c r="N24" s="50"/>
      <c r="O24" s="50"/>
      <c r="P24" s="50"/>
    </row>
    <row r="25" spans="1:21" ht="15" customHeight="1" x14ac:dyDescent="0.25">
      <c r="B25" s="112" t="s">
        <v>823</v>
      </c>
      <c r="C25" s="113"/>
      <c r="D25" s="50"/>
      <c r="E25" s="50"/>
      <c r="F25" s="50"/>
      <c r="G25" s="50"/>
      <c r="H25" s="50"/>
      <c r="I25" s="50"/>
      <c r="J25" s="50"/>
      <c r="K25" s="50"/>
      <c r="L25" s="231"/>
      <c r="M25" s="50"/>
      <c r="N25" s="50"/>
      <c r="O25" s="50"/>
      <c r="P25" s="50"/>
    </row>
    <row r="26" spans="1:21" ht="15" customHeight="1" x14ac:dyDescent="0.25">
      <c r="B26" s="114" t="s">
        <v>676</v>
      </c>
      <c r="C26" s="240">
        <v>0.15163299999999999</v>
      </c>
      <c r="D26" s="50"/>
      <c r="E26" s="50"/>
      <c r="F26" s="50"/>
      <c r="G26" s="50"/>
      <c r="H26" s="50"/>
      <c r="I26" s="50"/>
      <c r="J26" s="50"/>
      <c r="K26" s="50"/>
      <c r="L26" s="231"/>
      <c r="M26" s="50"/>
      <c r="N26" s="50"/>
      <c r="O26" s="50"/>
      <c r="P26" s="50"/>
    </row>
    <row r="27" spans="1:21" x14ac:dyDescent="0.25">
      <c r="B27" s="114" t="s">
        <v>822</v>
      </c>
      <c r="C27" s="115">
        <v>7.6999999999999999E-2</v>
      </c>
      <c r="D27" s="239"/>
      <c r="L27" s="230"/>
      <c r="U27" s="26"/>
    </row>
    <row r="28" spans="1:21" ht="15.75" thickBot="1" x14ac:dyDescent="0.3">
      <c r="B28" s="116" t="s">
        <v>675</v>
      </c>
      <c r="C28" s="117">
        <v>0.149812</v>
      </c>
      <c r="L28" s="230"/>
    </row>
    <row r="29" spans="1:21" x14ac:dyDescent="0.25">
      <c r="B29" s="26"/>
      <c r="L29" s="230"/>
    </row>
    <row r="30" spans="1:21" ht="15.75" thickBot="1" x14ac:dyDescent="0.3">
      <c r="B30" s="29" t="s">
        <v>821</v>
      </c>
      <c r="D30" s="48">
        <f>DADOS!F27</f>
        <v>0.16240631691648821</v>
      </c>
      <c r="E30" s="48">
        <f>DADOS!G27</f>
        <v>6.9491874099979437E-2</v>
      </c>
      <c r="F30" s="48">
        <f>DADOS!H27</f>
        <v>7.6661548585216052E-2</v>
      </c>
      <c r="G30" s="48">
        <f>DADOS!I27</f>
        <v>8.4462931245412293E-2</v>
      </c>
      <c r="H30" s="48">
        <f>DADOS!J27</f>
        <v>4.181867055796628E-2</v>
      </c>
      <c r="I30" s="48">
        <f>DADOS!K27</f>
        <v>8.8876467300167697E-2</v>
      </c>
      <c r="J30" s="48">
        <f>DADOS!L27</f>
        <v>9.8042911444098893E-2</v>
      </c>
      <c r="K30" s="48">
        <f>DADOS!M27</f>
        <v>0.23857152446801369</v>
      </c>
      <c r="L30" s="234">
        <f>'DRE - Ajustado 3º TRI 2025'!L31/'DRE - Ajustado 3º TRI 2025'!L30</f>
        <v>0.29344521464185819</v>
      </c>
    </row>
    <row r="31" spans="1:21" ht="15.75" thickBot="1" x14ac:dyDescent="0.3">
      <c r="B31" s="110" t="s">
        <v>433</v>
      </c>
      <c r="C31" s="92"/>
      <c r="D31" s="92"/>
      <c r="E31" s="92"/>
      <c r="F31" s="92"/>
      <c r="G31" s="92"/>
      <c r="H31" s="92"/>
      <c r="I31" s="92"/>
      <c r="J31" s="118"/>
      <c r="K31" s="119">
        <v>0.151</v>
      </c>
      <c r="L31" s="236">
        <f>(L11*C20)+(L10*(L17*(1-L30)))</f>
        <v>0.14481112662012649</v>
      </c>
    </row>
    <row r="32" spans="1:21" x14ac:dyDescent="0.25">
      <c r="B32" s="98" t="s">
        <v>678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L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16A9-7841-4DED-A229-C2C6A8BE7DD9}">
  <sheetPr>
    <tabColor theme="3" tint="0.79998168889431442"/>
  </sheetPr>
  <dimension ref="A1:XFA42"/>
  <sheetViews>
    <sheetView showGridLines="0" workbookViewId="0">
      <pane xSplit="2" topLeftCell="D1" activePane="topRight" state="frozen"/>
      <selection pane="topRight" activeCell="J26" sqref="J26"/>
    </sheetView>
  </sheetViews>
  <sheetFormatPr defaultRowHeight="15" x14ac:dyDescent="0.25"/>
  <cols>
    <col min="1" max="1" width="9.7109375" customWidth="1"/>
    <col min="2" max="2" width="27.85546875" bestFit="1" customWidth="1"/>
    <col min="3" max="3" width="9.5703125" hidden="1" customWidth="1"/>
    <col min="4" max="4" width="9.5703125" bestFit="1" customWidth="1"/>
    <col min="5" max="5" width="10.28515625" bestFit="1" customWidth="1"/>
    <col min="6" max="7" width="9.5703125" bestFit="1" customWidth="1"/>
    <col min="8" max="8" width="15.42578125" bestFit="1" customWidth="1"/>
    <col min="10" max="10" width="15.42578125" bestFit="1" customWidth="1"/>
    <col min="11" max="16" width="12" bestFit="1" customWidth="1"/>
    <col min="17" max="17" width="11" bestFit="1" customWidth="1"/>
    <col min="18" max="18" width="13.85546875" bestFit="1" customWidth="1"/>
  </cols>
  <sheetData>
    <row r="1" spans="1:18 16381:16381" x14ac:dyDescent="0.25">
      <c r="A1" s="84" t="s">
        <v>449</v>
      </c>
      <c r="B1" s="85"/>
      <c r="C1" s="62">
        <v>2019</v>
      </c>
      <c r="D1" s="62">
        <v>2020</v>
      </c>
      <c r="E1" s="62">
        <v>2021</v>
      </c>
      <c r="F1" s="62">
        <v>2022</v>
      </c>
      <c r="G1" s="62">
        <v>2023</v>
      </c>
      <c r="H1" s="62">
        <v>2024</v>
      </c>
      <c r="I1">
        <v>2025</v>
      </c>
      <c r="J1">
        <f>I1+1</f>
        <v>2026</v>
      </c>
      <c r="K1">
        <f t="shared" ref="K1:R1" si="0">J1+1</f>
        <v>2027</v>
      </c>
      <c r="L1">
        <f t="shared" si="0"/>
        <v>2028</v>
      </c>
      <c r="M1">
        <f t="shared" si="0"/>
        <v>2029</v>
      </c>
      <c r="N1">
        <f t="shared" si="0"/>
        <v>2030</v>
      </c>
      <c r="O1">
        <f t="shared" si="0"/>
        <v>2031</v>
      </c>
      <c r="P1">
        <f t="shared" si="0"/>
        <v>2032</v>
      </c>
      <c r="Q1">
        <f t="shared" si="0"/>
        <v>2033</v>
      </c>
      <c r="R1">
        <f t="shared" si="0"/>
        <v>2034</v>
      </c>
    </row>
    <row r="2" spans="1:18 16381:16381" s="36" customFormat="1" ht="8.1" customHeight="1" x14ac:dyDescent="0.25">
      <c r="A2" s="137"/>
      <c r="B2" s="138"/>
    </row>
    <row r="3" spans="1:18 16381:16381" s="36" customFormat="1" ht="15" customHeight="1" x14ac:dyDescent="0.25">
      <c r="B3" s="139" t="s">
        <v>721</v>
      </c>
      <c r="C3" s="140">
        <f>'DRE - Ajustado 3º TRI 2025'!F6</f>
        <v>38.621000000000002</v>
      </c>
      <c r="D3" s="140">
        <f>'DRE - Ajustado 3º TRI 2025'!G6</f>
        <v>35.93</v>
      </c>
      <c r="E3" s="140">
        <f>'DRE - Ajustado 3º TRI 2025'!H6</f>
        <v>120.319</v>
      </c>
      <c r="F3" s="140">
        <f>'DRE - Ajustado 3º TRI 2025'!I6</f>
        <v>72.058000000000007</v>
      </c>
      <c r="G3" s="140">
        <f>'DRE - Ajustado 3º TRI 2025'!J6</f>
        <v>67.307000000000002</v>
      </c>
      <c r="H3" s="140">
        <f>'DRE - Ajustado 3º TRI 2025'!K6</f>
        <v>85.998999999999995</v>
      </c>
      <c r="I3" s="71">
        <f>'Projeção DRE'!K3</f>
        <v>81.447000000000003</v>
      </c>
      <c r="J3" s="71">
        <f>'Projeção DRE'!L3</f>
        <v>86.813486164273712</v>
      </c>
      <c r="K3" s="71">
        <f>'Projeção DRE'!M3</f>
        <v>92.035590058160281</v>
      </c>
      <c r="L3" s="71">
        <f>'Projeção DRE'!N3</f>
        <v>97.043888755696685</v>
      </c>
      <c r="M3" s="71">
        <f>'Projeção DRE'!O3</f>
        <v>101.76806436701898</v>
      </c>
      <c r="N3" s="71">
        <f>'Projeção DRE'!P3</f>
        <v>106.13845848933495</v>
      </c>
      <c r="O3" s="71">
        <f>'Projeção DRE'!Q3</f>
        <v>110.0877101649632</v>
      </c>
      <c r="P3" s="71">
        <f>'Projeção DRE'!R3</f>
        <v>113.55242647509493</v>
      </c>
      <c r="Q3" s="71">
        <f>'Projeção DRE'!S3</f>
        <v>116.47483023563045</v>
      </c>
      <c r="R3" s="71">
        <f>'Projeção DRE'!T3</f>
        <v>118.80432684034307</v>
      </c>
    </row>
    <row r="4" spans="1:18 16381:16381" s="36" customFormat="1" ht="15" customHeight="1" x14ac:dyDescent="0.25">
      <c r="B4" s="139" t="s">
        <v>1038</v>
      </c>
      <c r="C4" s="64">
        <f>'Projeção DRE'!E13</f>
        <v>24.960999999999999</v>
      </c>
      <c r="D4" s="64">
        <f>'Projeção DRE'!F13</f>
        <v>19.170999999999999</v>
      </c>
      <c r="E4" s="64">
        <f>'Projeção DRE'!G13</f>
        <v>103.23</v>
      </c>
      <c r="F4" s="64">
        <f>'Projeção DRE'!H13</f>
        <v>38.323</v>
      </c>
      <c r="G4" s="64">
        <f>'Projeção DRE'!I13</f>
        <v>30.123000000000001</v>
      </c>
      <c r="H4" s="64">
        <f>'Projeção DRE'!J13</f>
        <v>43.628</v>
      </c>
      <c r="I4" s="71">
        <f>'Projeção DRE'!K13</f>
        <v>38.793513946152963</v>
      </c>
      <c r="J4" s="71">
        <f>'Projeção DRE'!L13</f>
        <v>40.082095492249664</v>
      </c>
      <c r="K4" s="71">
        <f>'Projeção DRE'!M13</f>
        <v>41.225940858494177</v>
      </c>
      <c r="L4" s="71">
        <f>'Projeção DRE'!N13</f>
        <v>42.163810017872095</v>
      </c>
      <c r="M4" s="71">
        <f>'Projeção DRE'!O13</f>
        <v>42.82036607935045</v>
      </c>
      <c r="N4" s="71">
        <f>'Projeção DRE'!P13</f>
        <v>43.113373972173143</v>
      </c>
      <c r="O4" s="71">
        <f>'Projeção DRE'!Q13</f>
        <v>42.98438755202919</v>
      </c>
      <c r="P4" s="71">
        <f>'Projeção DRE'!R13</f>
        <v>42.373030359413349</v>
      </c>
      <c r="Q4" s="71">
        <f>'Projeção DRE'!S13</f>
        <v>41.237765720561484</v>
      </c>
      <c r="R4" s="71">
        <f>'Projeção DRE'!T13</f>
        <v>39.526854246870094</v>
      </c>
    </row>
    <row r="5" spans="1:18 16381:16381" s="36" customFormat="1" ht="15" customHeight="1" x14ac:dyDescent="0.25">
      <c r="A5" s="139"/>
      <c r="B5" s="139" t="s">
        <v>723</v>
      </c>
      <c r="C5" s="62"/>
      <c r="D5" s="62"/>
      <c r="E5" s="62"/>
      <c r="F5" s="62"/>
      <c r="G5" s="62"/>
      <c r="H5" s="62"/>
      <c r="I5" s="71">
        <f>'Projeção DRE'!K20</f>
        <v>9.6824168473546965</v>
      </c>
      <c r="J5" s="71">
        <f>'Projeção DRE'!L20</f>
        <v>8.4566592048382407</v>
      </c>
      <c r="K5" s="71">
        <f>'Projeção DRE'!M20</f>
        <v>7.4555790657670897</v>
      </c>
      <c r="L5" s="71">
        <f>'Projeção DRE'!N20</f>
        <v>6.6379937535635323</v>
      </c>
      <c r="M5" s="71">
        <f>'Projeção DRE'!O20</f>
        <v>5.9702692461617524</v>
      </c>
      <c r="N5" s="71">
        <f>'Projeção DRE'!P20</f>
        <v>5.4249365314836027</v>
      </c>
      <c r="O5" s="71">
        <f>'Projeção DRE'!Q20</f>
        <v>4.9795615805844315</v>
      </c>
      <c r="P5" s="71">
        <f>'Projeção DRE'!R20</f>
        <v>4.6158224511512955</v>
      </c>
      <c r="Q5" s="71">
        <f>'Projeção DRE'!S20</f>
        <v>4.3187555550143175</v>
      </c>
      <c r="R5" s="71">
        <f>'Projeção DRE'!T20</f>
        <v>4.0761400824420155</v>
      </c>
    </row>
    <row r="6" spans="1:18 16381:16381" s="36" customFormat="1" ht="15" customHeight="1" x14ac:dyDescent="0.25">
      <c r="A6" s="139"/>
      <c r="B6" s="139" t="s">
        <v>811</v>
      </c>
      <c r="C6" s="62"/>
      <c r="D6" s="62"/>
      <c r="E6" s="62"/>
      <c r="F6" s="62"/>
      <c r="G6" s="62"/>
      <c r="H6" s="62"/>
      <c r="I6" s="68">
        <f>'Projeção DRE'!K20/'Projeção DRE'!K19</f>
        <v>0.15425550196357873</v>
      </c>
      <c r="J6" s="68">
        <f>'Projeção DRE'!L20/'Projeção DRE'!L19</f>
        <v>0.13896139185861073</v>
      </c>
      <c r="K6" s="68">
        <f>'Projeção DRE'!M20/'Projeção DRE'!M19</f>
        <v>0.12760116982661432</v>
      </c>
      <c r="L6" s="68">
        <f>'Projeção DRE'!N20/'Projeção DRE'!N19</f>
        <v>0.1175907193616894</v>
      </c>
      <c r="M6" s="68">
        <f>'Projeção DRE'!O20/'Projeção DRE'!O19</f>
        <v>0.10909681372538106</v>
      </c>
      <c r="N6" s="68">
        <f>'Projeção DRE'!P20/'Projeção DRE'!P19</f>
        <v>0.10221817854645648</v>
      </c>
      <c r="O6" s="68">
        <f>'Projeção DRE'!Q20/'Projeção DRE'!Q19</f>
        <v>9.6964679172520871E-2</v>
      </c>
      <c r="P6" s="68">
        <f>'Projeção DRE'!R20/'Projeção DRE'!R19</f>
        <v>9.3351637017210665E-2</v>
      </c>
      <c r="Q6" s="68">
        <f>'Projeção DRE'!S20/'Projeção DRE'!S19</f>
        <v>9.1400894749594327E-2</v>
      </c>
      <c r="R6" s="68">
        <f>'Projeção DRE'!T20/'Projeção DRE'!T19</f>
        <v>9.1240859031035168E-2</v>
      </c>
    </row>
    <row r="7" spans="1:18 16381:16381" x14ac:dyDescent="0.25">
      <c r="B7" s="29" t="s">
        <v>433</v>
      </c>
      <c r="C7" s="62"/>
      <c r="D7" s="62"/>
      <c r="E7" s="62"/>
      <c r="F7" s="62"/>
      <c r="G7" s="62"/>
      <c r="H7" s="66">
        <v>0.151</v>
      </c>
      <c r="I7" s="67">
        <f>'ESTRUTURA DE CAPITAL'!L31</f>
        <v>0.14481112662012649</v>
      </c>
      <c r="J7" s="26">
        <f>I7</f>
        <v>0.14481112662012649</v>
      </c>
      <c r="K7" s="26">
        <f>J7</f>
        <v>0.14481112662012649</v>
      </c>
      <c r="L7" s="26">
        <f>K7</f>
        <v>0.14481112662012649</v>
      </c>
      <c r="M7" s="26">
        <f>L7</f>
        <v>0.14481112662012649</v>
      </c>
      <c r="N7" s="26">
        <f>M7</f>
        <v>0.14481112662012649</v>
      </c>
      <c r="O7" s="26">
        <f>N7</f>
        <v>0.14481112662012649</v>
      </c>
      <c r="P7" s="26">
        <f>O7</f>
        <v>0.14481112662012649</v>
      </c>
      <c r="Q7" s="26">
        <f>P7</f>
        <v>0.14481112662012649</v>
      </c>
      <c r="R7" s="26">
        <f>Q7</f>
        <v>0.14481112662012649</v>
      </c>
    </row>
    <row r="8" spans="1:18 16381:16381" x14ac:dyDescent="0.25">
      <c r="B8" s="29" t="s">
        <v>423</v>
      </c>
      <c r="C8" s="66">
        <f>DADOS!H34</f>
        <v>0.13317376380719403</v>
      </c>
      <c r="D8" s="66">
        <f>DADOS!I34</f>
        <v>0.10309162278180953</v>
      </c>
      <c r="E8" s="66">
        <f>DADOS!J34</f>
        <v>0.58248225187883818</v>
      </c>
      <c r="F8" s="66">
        <f>DADOS!K34</f>
        <v>0.14071430011024247</v>
      </c>
      <c r="G8" s="66">
        <f>DADOS!L34</f>
        <v>0.1048916069374094</v>
      </c>
      <c r="H8" s="66">
        <f>DADOS!M34</f>
        <v>0.1229153772996385</v>
      </c>
      <c r="I8" s="67">
        <f>I14/H12</f>
        <v>0.10332660741615164</v>
      </c>
      <c r="J8" s="67">
        <f>J14/I12</f>
        <v>0.10868933021984278</v>
      </c>
      <c r="K8" s="67">
        <f>K14/J12</f>
        <v>0.11326598844757678</v>
      </c>
      <c r="L8" s="67">
        <f>L14/K12</f>
        <v>0.1171719840483005</v>
      </c>
      <c r="M8" s="68">
        <f>M14/L12</f>
        <v>0.12014197220913526</v>
      </c>
      <c r="N8" s="68">
        <f t="shared" ref="N8:R8" si="1">N14/M12</f>
        <v>0.12189803015688358</v>
      </c>
      <c r="O8" s="68">
        <f t="shared" si="1"/>
        <v>0.12224450590216193</v>
      </c>
      <c r="P8" s="68">
        <f t="shared" si="1"/>
        <v>0.12098799364465876</v>
      </c>
      <c r="Q8" s="68">
        <f t="shared" si="1"/>
        <v>0.11799980800686551</v>
      </c>
      <c r="R8" s="68">
        <f t="shared" si="1"/>
        <v>0.11312404178045968</v>
      </c>
    </row>
    <row r="9" spans="1:18 16381:16381" x14ac:dyDescent="0.25">
      <c r="B9" s="29" t="s">
        <v>434</v>
      </c>
      <c r="C9" s="66">
        <f>DADOS!H36</f>
        <v>-0.12187898737899855</v>
      </c>
      <c r="D9" s="66">
        <f>DADOS!I36</f>
        <v>-2.5125683762126892E-2</v>
      </c>
      <c r="E9" s="66">
        <f>DADOS!J36</f>
        <v>0.79188735115779552</v>
      </c>
      <c r="F9" s="66">
        <f>DADOS!K36</f>
        <v>0.31173938218715441</v>
      </c>
      <c r="G9" s="66">
        <f>DADOS!L36</f>
        <v>0.413623237787207</v>
      </c>
      <c r="H9" s="66">
        <f>DADOS!M36</f>
        <v>1.4228647491930058</v>
      </c>
      <c r="I9" s="67">
        <v>0</v>
      </c>
      <c r="J9" s="67">
        <v>0</v>
      </c>
      <c r="K9" s="67">
        <v>0</v>
      </c>
      <c r="L9" s="67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XFA9" t="s">
        <v>440</v>
      </c>
    </row>
    <row r="10" spans="1:18 16381:16381" x14ac:dyDescent="0.25">
      <c r="B10" s="29" t="s">
        <v>435</v>
      </c>
      <c r="C10" s="66">
        <f t="shared" ref="C10:H10" si="2">C8*C9</f>
        <v>-1.6231083478270736E-2</v>
      </c>
      <c r="D10" s="66">
        <f t="shared" si="2"/>
        <v>-2.5902475125402225E-3</v>
      </c>
      <c r="E10" s="66">
        <f t="shared" si="2"/>
        <v>0.46126032753676105</v>
      </c>
      <c r="F10" s="66">
        <f t="shared" si="2"/>
        <v>4.386618898126482E-2</v>
      </c>
      <c r="G10" s="66">
        <f t="shared" si="2"/>
        <v>4.3385606078154337E-2</v>
      </c>
      <c r="H10" s="66">
        <f t="shared" si="2"/>
        <v>0.1748919574934138</v>
      </c>
      <c r="I10" s="67">
        <f>I8*I9</f>
        <v>0</v>
      </c>
      <c r="J10" s="67">
        <f t="shared" ref="J10:L10" si="3">J8*J9</f>
        <v>0</v>
      </c>
      <c r="K10" s="67">
        <f t="shared" si="3"/>
        <v>0</v>
      </c>
      <c r="L10" s="67">
        <f t="shared" si="3"/>
        <v>0</v>
      </c>
      <c r="M10" s="68">
        <f>M8*M9</f>
        <v>0</v>
      </c>
      <c r="N10" s="68">
        <f t="shared" ref="N10:R10" si="4">N8*N9</f>
        <v>0</v>
      </c>
      <c r="O10" s="68">
        <f t="shared" si="4"/>
        <v>0</v>
      </c>
      <c r="P10" s="68">
        <f t="shared" si="4"/>
        <v>0</v>
      </c>
      <c r="Q10" s="68">
        <f t="shared" si="4"/>
        <v>0</v>
      </c>
      <c r="R10" s="68">
        <f t="shared" si="4"/>
        <v>0</v>
      </c>
    </row>
    <row r="11" spans="1:18 16381:16381" x14ac:dyDescent="0.25">
      <c r="B11" s="29"/>
      <c r="C11" s="62"/>
      <c r="D11" s="62"/>
      <c r="E11" s="62"/>
      <c r="F11" s="62"/>
      <c r="G11" s="62"/>
      <c r="H11" s="62"/>
    </row>
    <row r="12" spans="1:18 16381:16381" x14ac:dyDescent="0.25">
      <c r="B12" s="29" t="s">
        <v>404</v>
      </c>
      <c r="C12" s="64">
        <f>DADOS!H19</f>
        <v>170.25400000000002</v>
      </c>
      <c r="D12" s="64">
        <f>DADOS!I19</f>
        <v>169.81299999999999</v>
      </c>
      <c r="E12" s="64">
        <f>DADOS!J19</f>
        <v>248.14099999999999</v>
      </c>
      <c r="F12" s="64">
        <f>DADOS!K19</f>
        <v>259.02600000000001</v>
      </c>
      <c r="G12" s="64">
        <f>DADOS!L19</f>
        <v>270.26400000000001</v>
      </c>
      <c r="H12" s="64">
        <f>DADOS!M19</f>
        <v>317.53100000000001</v>
      </c>
      <c r="I12" s="50">
        <f>H12-I16</f>
        <v>317.53100000000001</v>
      </c>
      <c r="J12" s="50">
        <f t="shared" ref="J12:R12" si="5">I12-J16</f>
        <v>317.53100000000001</v>
      </c>
      <c r="K12" s="50">
        <f t="shared" si="5"/>
        <v>317.53100000000001</v>
      </c>
      <c r="L12" s="50">
        <f t="shared" si="5"/>
        <v>317.53100000000001</v>
      </c>
      <c r="M12" s="50">
        <f t="shared" si="5"/>
        <v>317.53100000000001</v>
      </c>
      <c r="N12" s="50">
        <f t="shared" si="5"/>
        <v>317.53100000000001</v>
      </c>
      <c r="O12" s="50">
        <f t="shared" si="5"/>
        <v>317.53100000000001</v>
      </c>
      <c r="P12" s="50">
        <f t="shared" si="5"/>
        <v>317.53100000000001</v>
      </c>
      <c r="Q12" s="50">
        <f t="shared" si="5"/>
        <v>317.53100000000001</v>
      </c>
      <c r="R12" s="50">
        <f t="shared" si="5"/>
        <v>317.53100000000001</v>
      </c>
    </row>
    <row r="13" spans="1:18 16381:16381" x14ac:dyDescent="0.25">
      <c r="B13" s="29"/>
      <c r="C13" s="62"/>
      <c r="D13" s="62"/>
      <c r="E13" s="62"/>
      <c r="F13" s="62"/>
      <c r="G13" s="62"/>
      <c r="H13" s="62"/>
    </row>
    <row r="14" spans="1:18 16381:16381" x14ac:dyDescent="0.25">
      <c r="A14" t="s">
        <v>409</v>
      </c>
      <c r="B14" s="29" t="s">
        <v>817</v>
      </c>
      <c r="C14" s="64">
        <f>DADOS!H28</f>
        <v>23.047451085764422</v>
      </c>
      <c r="D14" s="64">
        <f>DADOS!I28</f>
        <v>17.551761145094201</v>
      </c>
      <c r="E14" s="64">
        <f>DADOS!J28</f>
        <v>98.913058638301138</v>
      </c>
      <c r="F14" s="64">
        <f>DADOS!K28</f>
        <v>34.916987143655675</v>
      </c>
      <c r="G14" s="64">
        <f>DADOS!L28</f>
        <v>27.169653378569407</v>
      </c>
      <c r="H14" s="64">
        <f>DADOS!M28</f>
        <v>33.2196015305095</v>
      </c>
      <c r="I14" s="50">
        <f>I4*(1-I6)</f>
        <v>32.809400979458047</v>
      </c>
      <c r="J14" s="50">
        <f>J4*(1-J6)</f>
        <v>34.512231714036901</v>
      </c>
      <c r="K14" s="50">
        <f>K4*(1-K6)</f>
        <v>35.965462577747502</v>
      </c>
      <c r="L14" s="50">
        <f>L4*(1-L6)</f>
        <v>37.205737266840906</v>
      </c>
      <c r="M14" s="50">
        <f>M4*(1-M6)</f>
        <v>38.148800577538928</v>
      </c>
      <c r="N14" s="50">
        <f>N4*(1-N6)</f>
        <v>38.706403413745399</v>
      </c>
      <c r="O14" s="50">
        <f>O4*(1-O6)</f>
        <v>38.81642020361938</v>
      </c>
      <c r="P14" s="50">
        <f>P4*(1-P6)</f>
        <v>38.417438609982142</v>
      </c>
      <c r="Q14" s="50">
        <f>Q4*(1-Q6)</f>
        <v>37.468597036228012</v>
      </c>
      <c r="R14" s="50">
        <f>R4*(1-R6)</f>
        <v>35.920390110591143</v>
      </c>
    </row>
    <row r="15" spans="1:18 16381:16381" x14ac:dyDescent="0.25">
      <c r="A15" t="s">
        <v>409</v>
      </c>
      <c r="B15" s="29" t="s">
        <v>724</v>
      </c>
      <c r="C15" s="64">
        <f>DADOS!H28</f>
        <v>23.047451085764422</v>
      </c>
      <c r="D15" s="64">
        <f>DADOS!I28</f>
        <v>17.551761145094201</v>
      </c>
      <c r="E15" s="64">
        <f>DADOS!J28</f>
        <v>98.913058638301138</v>
      </c>
      <c r="F15" s="64">
        <f>DADOS!K28</f>
        <v>34.916987143655675</v>
      </c>
      <c r="G15" s="64">
        <f>DADOS!L28</f>
        <v>27.169653378569407</v>
      </c>
      <c r="H15" s="64">
        <f>DADOS!M28</f>
        <v>33.2196015305095</v>
      </c>
      <c r="I15" s="50">
        <f>I8*H12</f>
        <v>32.809400979458047</v>
      </c>
      <c r="J15" s="50">
        <f t="shared" ref="J15:R15" si="6">J8*I12</f>
        <v>34.512231714036901</v>
      </c>
      <c r="K15" s="50">
        <f t="shared" si="6"/>
        <v>35.965462577747502</v>
      </c>
      <c r="L15" s="50">
        <f t="shared" si="6"/>
        <v>37.205737266840906</v>
      </c>
      <c r="M15" s="50">
        <f t="shared" si="6"/>
        <v>38.148800577538928</v>
      </c>
      <c r="N15" s="50">
        <f t="shared" si="6"/>
        <v>38.706403413745399</v>
      </c>
      <c r="O15" s="50">
        <f t="shared" si="6"/>
        <v>38.81642020361938</v>
      </c>
      <c r="P15" s="50">
        <f t="shared" si="6"/>
        <v>38.417438609982142</v>
      </c>
      <c r="Q15" s="50">
        <f t="shared" si="6"/>
        <v>37.468597036228012</v>
      </c>
      <c r="R15" s="50">
        <f t="shared" si="6"/>
        <v>35.920390110591143</v>
      </c>
    </row>
    <row r="16" spans="1:18 16381:16381" ht="15.75" thickBot="1" x14ac:dyDescent="0.3">
      <c r="A16" s="30" t="s">
        <v>408</v>
      </c>
      <c r="B16" s="69" t="s">
        <v>436</v>
      </c>
      <c r="C16" s="65">
        <f>DADOS!H21</f>
        <v>2.8089999999999691</v>
      </c>
      <c r="D16" s="65">
        <f>DADOS!I21</f>
        <v>0.44100000000003092</v>
      </c>
      <c r="E16" s="65">
        <f>DADOS!J21</f>
        <v>-78.328000000000003</v>
      </c>
      <c r="F16" s="65">
        <f>DADOS!K21</f>
        <v>-10.885000000000019</v>
      </c>
      <c r="G16" s="65">
        <f>DADOS!L21</f>
        <v>-11.238</v>
      </c>
      <c r="H16" s="65">
        <f>DADOS!M21</f>
        <v>-47.266999999999996</v>
      </c>
      <c r="I16" s="55">
        <f>-(I15*I9)</f>
        <v>0</v>
      </c>
      <c r="J16" s="55">
        <f t="shared" ref="J16:R16" si="7">-(J15*J9)</f>
        <v>0</v>
      </c>
      <c r="K16" s="55">
        <f t="shared" si="7"/>
        <v>0</v>
      </c>
      <c r="L16" s="55">
        <f t="shared" si="7"/>
        <v>0</v>
      </c>
      <c r="M16" s="55">
        <f>-(M15*M9)</f>
        <v>0</v>
      </c>
      <c r="N16" s="55">
        <f t="shared" si="7"/>
        <v>0</v>
      </c>
      <c r="O16" s="55">
        <f t="shared" si="7"/>
        <v>0</v>
      </c>
      <c r="P16" s="55">
        <f t="shared" si="7"/>
        <v>0</v>
      </c>
      <c r="Q16" s="55">
        <f t="shared" si="7"/>
        <v>0</v>
      </c>
      <c r="R16" s="55">
        <f t="shared" si="7"/>
        <v>0</v>
      </c>
    </row>
    <row r="17" spans="1:18" ht="15.75" thickTop="1" x14ac:dyDescent="0.25">
      <c r="A17" t="s">
        <v>416</v>
      </c>
      <c r="B17" s="47" t="s">
        <v>437</v>
      </c>
      <c r="C17" s="64">
        <f t="shared" ref="C17:H17" si="8">SUM(C15:C16)</f>
        <v>25.856451085764391</v>
      </c>
      <c r="D17" s="64">
        <f t="shared" si="8"/>
        <v>17.992761145094232</v>
      </c>
      <c r="E17" s="64">
        <f t="shared" si="8"/>
        <v>20.585058638301135</v>
      </c>
      <c r="F17" s="64">
        <f t="shared" si="8"/>
        <v>24.031987143655655</v>
      </c>
      <c r="G17" s="64">
        <f t="shared" si="8"/>
        <v>15.931653378569408</v>
      </c>
      <c r="H17" s="64">
        <f t="shared" si="8"/>
        <v>-14.047398469490496</v>
      </c>
      <c r="I17" s="71">
        <f>SUM(I15:I16)</f>
        <v>32.809400979458047</v>
      </c>
      <c r="J17" s="71">
        <f t="shared" ref="J17" si="9">SUM(J15:J16)</f>
        <v>34.512231714036901</v>
      </c>
      <c r="K17" s="71">
        <f t="shared" ref="K17" si="10">SUM(K15:K16)</f>
        <v>35.965462577747502</v>
      </c>
      <c r="L17" s="71">
        <f t="shared" ref="L17" si="11">SUM(L15:L16)</f>
        <v>37.205737266840906</v>
      </c>
      <c r="M17" s="71">
        <f t="shared" ref="M17" si="12">SUM(M15:M16)</f>
        <v>38.148800577538928</v>
      </c>
      <c r="N17" s="71">
        <f t="shared" ref="N17" si="13">SUM(N15:N16)</f>
        <v>38.706403413745399</v>
      </c>
      <c r="O17" s="71">
        <f t="shared" ref="O17" si="14">SUM(O15:O16)</f>
        <v>38.81642020361938</v>
      </c>
      <c r="P17" s="71">
        <f t="shared" ref="P17" si="15">SUM(P15:P16)</f>
        <v>38.417438609982142</v>
      </c>
      <c r="Q17" s="71">
        <f t="shared" ref="Q17" si="16">SUM(Q15:Q16)</f>
        <v>37.468597036228012</v>
      </c>
      <c r="R17" s="71">
        <f t="shared" ref="R17" si="17">SUM(R15:R16)</f>
        <v>35.920390110591143</v>
      </c>
    </row>
    <row r="19" spans="1:18" x14ac:dyDescent="0.25">
      <c r="A19" t="s">
        <v>441</v>
      </c>
      <c r="B19" s="76"/>
      <c r="C19" s="72" t="e">
        <f>#REF!</f>
        <v>#REF!</v>
      </c>
      <c r="D19" s="72">
        <v>591.54809999999998</v>
      </c>
      <c r="E19" s="72">
        <v>542.48199999999997</v>
      </c>
      <c r="F19" s="72">
        <v>563.803</v>
      </c>
      <c r="G19" s="72">
        <v>539.09820000000002</v>
      </c>
      <c r="H19" s="72">
        <v>474.5308</v>
      </c>
    </row>
    <row r="20" spans="1:18" x14ac:dyDescent="0.25">
      <c r="E20" s="76"/>
      <c r="F20" s="76"/>
      <c r="G20" s="76"/>
      <c r="H20" s="76"/>
      <c r="R20" s="265" t="s">
        <v>1053</v>
      </c>
    </row>
    <row r="21" spans="1:18" x14ac:dyDescent="0.25">
      <c r="A21" t="s">
        <v>442</v>
      </c>
      <c r="E21" s="39"/>
      <c r="F21" s="39"/>
      <c r="G21" s="39"/>
      <c r="H21" s="39"/>
      <c r="I21" s="39"/>
      <c r="J21" s="39"/>
      <c r="K21" s="39"/>
      <c r="L21" s="39"/>
      <c r="M21" s="39"/>
      <c r="N21" s="73"/>
      <c r="O21" s="73"/>
      <c r="P21" s="73"/>
      <c r="Q21" s="73"/>
      <c r="R21" s="266">
        <f>R17*(1+R10)/(R7-R10)</f>
        <v>248.04993199741301</v>
      </c>
    </row>
    <row r="22" spans="1:18" x14ac:dyDescent="0.25">
      <c r="A22" t="s">
        <v>443</v>
      </c>
      <c r="E22" s="74">
        <f t="shared" ref="E22:R22" si="18">E17+E21</f>
        <v>20.585058638301135</v>
      </c>
      <c r="F22" s="74">
        <f t="shared" si="18"/>
        <v>24.031987143655655</v>
      </c>
      <c r="G22" s="74">
        <f t="shared" si="18"/>
        <v>15.931653378569408</v>
      </c>
      <c r="H22" s="74">
        <f t="shared" si="18"/>
        <v>-14.047398469490496</v>
      </c>
      <c r="I22" s="74">
        <f t="shared" si="18"/>
        <v>32.809400979458047</v>
      </c>
      <c r="J22" s="74">
        <f t="shared" si="18"/>
        <v>34.512231714036901</v>
      </c>
      <c r="K22" s="74">
        <f t="shared" si="18"/>
        <v>35.965462577747502</v>
      </c>
      <c r="L22" s="74">
        <f t="shared" si="18"/>
        <v>37.205737266840906</v>
      </c>
      <c r="M22" s="74">
        <f t="shared" si="18"/>
        <v>38.148800577538928</v>
      </c>
      <c r="N22" s="74">
        <f t="shared" si="18"/>
        <v>38.706403413745399</v>
      </c>
      <c r="O22" s="74">
        <f t="shared" si="18"/>
        <v>38.81642020361938</v>
      </c>
      <c r="P22" s="74">
        <f t="shared" si="18"/>
        <v>38.417438609982142</v>
      </c>
      <c r="Q22" s="74">
        <f t="shared" si="18"/>
        <v>37.468597036228012</v>
      </c>
      <c r="R22" s="74">
        <f t="shared" si="18"/>
        <v>283.97032210800415</v>
      </c>
    </row>
    <row r="24" spans="1:18" x14ac:dyDescent="0.25">
      <c r="A24" s="75" t="s">
        <v>450</v>
      </c>
      <c r="B24" s="75"/>
      <c r="C24" s="75"/>
      <c r="D24" s="75"/>
      <c r="E24" s="75"/>
      <c r="F24" s="75"/>
      <c r="G24" s="75"/>
      <c r="H24" s="75">
        <v>1</v>
      </c>
      <c r="I24" s="75">
        <f t="shared" ref="I24:R24" si="19">(1+I7)^(-(I1-$H$1))</f>
        <v>0.87350653461269345</v>
      </c>
      <c r="J24" s="75">
        <f t="shared" si="19"/>
        <v>0.76301366601107656</v>
      </c>
      <c r="K24" s="75">
        <f t="shared" si="19"/>
        <v>0.66649742325946248</v>
      </c>
      <c r="L24" s="75">
        <f t="shared" si="19"/>
        <v>0.58218985451966265</v>
      </c>
      <c r="M24" s="75">
        <f t="shared" si="19"/>
        <v>0.50854664230813862</v>
      </c>
      <c r="N24" s="75">
        <f t="shared" si="19"/>
        <v>0.44421881521150308</v>
      </c>
      <c r="O24" s="75">
        <f t="shared" si="19"/>
        <v>0.3880280378851565</v>
      </c>
      <c r="P24" s="75">
        <f t="shared" si="19"/>
        <v>0.33894502670562593</v>
      </c>
      <c r="Q24" s="75">
        <f t="shared" si="19"/>
        <v>0.29607069570183814</v>
      </c>
      <c r="R24" s="75">
        <f t="shared" si="19"/>
        <v>0.25861968740288188</v>
      </c>
    </row>
    <row r="26" spans="1:18" x14ac:dyDescent="0.25">
      <c r="A26" s="81" t="s">
        <v>727</v>
      </c>
      <c r="B26" s="81"/>
      <c r="C26" s="81"/>
      <c r="D26" s="82"/>
      <c r="E26" s="82"/>
      <c r="F26" s="82"/>
      <c r="G26" s="82"/>
      <c r="H26" s="82">
        <f>SUMPRODUCT(I22:$R22,I24:$R24)/H24</f>
        <v>249.83570725477455</v>
      </c>
      <c r="I26" s="82">
        <f>SUMPRODUCT(J22:$R22,J24:$R24)/I24</f>
        <v>253.20529651281649</v>
      </c>
      <c r="J26" s="82">
        <f>SUMPRODUCT(K22:$R22,K24:$R24)/J24</f>
        <v>255.36000905298371</v>
      </c>
      <c r="K26" s="82">
        <f>SUMPRODUCT(L22:$R22,L24:$R24)/K24</f>
        <v>256.37351707992445</v>
      </c>
      <c r="L26" s="82">
        <f>SUMPRODUCT(M22:$R22,M24:$R24)/L24</f>
        <v>256.29351765699164</v>
      </c>
      <c r="M26" s="82">
        <f>SUMPRODUCT(N22:$R22,N24:$R24)/M24</f>
        <v>255.25887011679697</v>
      </c>
      <c r="N26" s="82">
        <f>SUMPRODUCT(O22:$R22,O24:$R24)/N24</f>
        <v>253.51679126444546</v>
      </c>
      <c r="O26" s="82">
        <f>SUMPRODUCT(P22:$R22,P24:$R24)/O24</f>
        <v>251.41242322094982</v>
      </c>
      <c r="P26" s="82">
        <f>SUMPRODUCT(Q22:$R22,Q24:$R24)/P24</f>
        <v>249.40230086388948</v>
      </c>
      <c r="Q26" s="82">
        <f>SUMPRODUCT(R22:$R22,R24:$R24)/Q24</f>
        <v>248.04993199741304</v>
      </c>
      <c r="R26" s="82">
        <f>R21</f>
        <v>248.04993199741301</v>
      </c>
    </row>
    <row r="27" spans="1:18" x14ac:dyDescent="0.25">
      <c r="A27" s="29" t="s">
        <v>445</v>
      </c>
      <c r="I27" s="83">
        <f>I26/H26-1</f>
        <v>1.3487220442055303E-2</v>
      </c>
      <c r="J27" s="83">
        <f t="shared" ref="J27:R27" si="20">J26/I26-1</f>
        <v>8.5097451350435449E-3</v>
      </c>
      <c r="K27" s="83">
        <f t="shared" si="20"/>
        <v>3.9689379347196407E-3</v>
      </c>
      <c r="L27" s="83">
        <f t="shared" si="20"/>
        <v>-3.1204245993887714E-4</v>
      </c>
      <c r="M27" s="83">
        <f t="shared" si="20"/>
        <v>-4.0369633600307875E-3</v>
      </c>
      <c r="N27" s="83">
        <f t="shared" si="20"/>
        <v>-6.8247534416899791E-3</v>
      </c>
      <c r="O27" s="83">
        <f t="shared" si="20"/>
        <v>-8.3007047896112018E-3</v>
      </c>
      <c r="P27" s="83">
        <f t="shared" si="20"/>
        <v>-7.9953183351395563E-3</v>
      </c>
      <c r="Q27" s="83">
        <f t="shared" si="20"/>
        <v>-5.4224394153223887E-3</v>
      </c>
      <c r="R27" s="83">
        <f t="shared" si="20"/>
        <v>0</v>
      </c>
    </row>
    <row r="30" spans="1:18" x14ac:dyDescent="0.25">
      <c r="A30" t="s">
        <v>446</v>
      </c>
      <c r="I30" s="51">
        <f>H12*(I8-I7)</f>
        <v>-13.172620867357338</v>
      </c>
      <c r="J30" s="51">
        <f>I12*(J8-J7)</f>
        <v>-11.469790132778487</v>
      </c>
      <c r="K30" s="51">
        <f t="shared" ref="K30:Q30" si="21">J12*(K8-K7)</f>
        <v>-10.016559269067882</v>
      </c>
      <c r="L30" s="51">
        <f t="shared" si="21"/>
        <v>-8.7762845799744795</v>
      </c>
      <c r="M30" s="51">
        <f t="shared" si="21"/>
        <v>-7.8332212692764553</v>
      </c>
      <c r="N30" s="51">
        <f t="shared" si="21"/>
        <v>-7.2756184330699849</v>
      </c>
      <c r="O30" s="51">
        <f t="shared" si="21"/>
        <v>-7.1656016431960046</v>
      </c>
      <c r="P30" s="51">
        <f t="shared" si="21"/>
        <v>-7.5645832368332444</v>
      </c>
      <c r="Q30" s="51">
        <f t="shared" si="21"/>
        <v>-8.5134248105873738</v>
      </c>
      <c r="R30" s="51">
        <f>Q12*(R8-R7)</f>
        <v>-10.061631736224243</v>
      </c>
    </row>
    <row r="31" spans="1:18" x14ac:dyDescent="0.25">
      <c r="A31" t="s">
        <v>448</v>
      </c>
      <c r="I31" s="50"/>
      <c r="J31" s="50"/>
      <c r="K31" s="50"/>
      <c r="L31" s="50"/>
      <c r="M31" s="50"/>
      <c r="N31" s="50"/>
      <c r="O31" s="50"/>
      <c r="P31" s="50"/>
      <c r="Q31" s="50"/>
      <c r="R31" s="51">
        <f>R30*(1+R10)/(R7-R10)</f>
        <v>-69.48106800258698</v>
      </c>
    </row>
    <row r="33" spans="1:18" x14ac:dyDescent="0.25">
      <c r="A33" t="s">
        <v>447</v>
      </c>
      <c r="H33" s="74">
        <f>(SUMPRODUCT(I30:$R30,I24:$R24)+$R$31*$R$24)/H24</f>
        <v>-67.695292745225558</v>
      </c>
      <c r="I33" s="74">
        <f>(SUMPRODUCT(J30:$R30,J24:$R24)+$R$31*$R$24)/I24</f>
        <v>-64.325703487183588</v>
      </c>
      <c r="J33" s="74">
        <f>(SUMPRODUCT(K30:$R30,K24:$R24)+$R$31*$R$24)/J24</f>
        <v>-62.170990947016364</v>
      </c>
      <c r="K33" s="74">
        <f>(SUMPRODUCT(L30:$R30,L24:$R24)+$R$31*$R$24)/K24</f>
        <v>-61.157482920075601</v>
      </c>
      <c r="L33" s="74">
        <f>(SUMPRODUCT(M30:$R30,M24:$R24)+$R$31*$R$24)/L24</f>
        <v>-61.237482343008416</v>
      </c>
      <c r="M33" s="74">
        <f>(SUMPRODUCT(N30:$R30,N24:$R24)+$R$31*$R$24)/M24</f>
        <v>-62.272129883203107</v>
      </c>
      <c r="N33" s="74">
        <f>(SUMPRODUCT(O30:$R30,O24:$R24)+$R$31*$R$24)/N24</f>
        <v>-64.014208735554604</v>
      </c>
      <c r="O33" s="74">
        <f>(SUMPRODUCT(P30:$R30,P24:$R24)+$R$31*$R$24)/O24</f>
        <v>-66.118576779050201</v>
      </c>
      <c r="P33" s="74">
        <f>(SUMPRODUCT(Q30:$R30,Q24:$R24)+$R$31*$R$24)/P24</f>
        <v>-68.128699136110541</v>
      </c>
      <c r="Q33" s="74">
        <f>(SUMPRODUCT(R30:$R30,R24:$R24)+$R$31*$R$24)/Q24</f>
        <v>-69.48106800258698</v>
      </c>
      <c r="R33" s="74">
        <f>(SUMPRODUCT($R30:$R30,$R24:$R24)+$R$31*$R$24)/R24</f>
        <v>-79.542699738811223</v>
      </c>
    </row>
    <row r="34" spans="1:18" x14ac:dyDescent="0.25">
      <c r="A34" s="39" t="s">
        <v>404</v>
      </c>
      <c r="B34" s="39"/>
      <c r="C34" s="39"/>
      <c r="D34" s="39"/>
      <c r="E34" s="39"/>
      <c r="F34" s="39"/>
      <c r="G34" s="39"/>
      <c r="H34" s="54">
        <f>H12</f>
        <v>317.53100000000001</v>
      </c>
      <c r="I34" s="54">
        <f t="shared" ref="I34:Q34" si="22">I12</f>
        <v>317.53100000000001</v>
      </c>
      <c r="J34" s="54">
        <f t="shared" si="22"/>
        <v>317.53100000000001</v>
      </c>
      <c r="K34" s="54">
        <f t="shared" si="22"/>
        <v>317.53100000000001</v>
      </c>
      <c r="L34" s="54">
        <f t="shared" si="22"/>
        <v>317.53100000000001</v>
      </c>
      <c r="M34" s="54">
        <f t="shared" si="22"/>
        <v>317.53100000000001</v>
      </c>
      <c r="N34" s="54">
        <f t="shared" si="22"/>
        <v>317.53100000000001</v>
      </c>
      <c r="O34" s="54">
        <f t="shared" si="22"/>
        <v>317.53100000000001</v>
      </c>
      <c r="P34" s="54">
        <f t="shared" si="22"/>
        <v>317.53100000000001</v>
      </c>
      <c r="Q34" s="54">
        <f t="shared" si="22"/>
        <v>317.53100000000001</v>
      </c>
      <c r="R34" s="54">
        <f>R12</f>
        <v>317.53100000000001</v>
      </c>
    </row>
    <row r="35" spans="1:18" x14ac:dyDescent="0.25">
      <c r="A35" s="81" t="s">
        <v>451</v>
      </c>
      <c r="B35" s="81"/>
      <c r="C35" s="81"/>
      <c r="D35" s="81"/>
      <c r="E35" s="81"/>
      <c r="F35" s="81"/>
      <c r="G35" s="81"/>
      <c r="H35" s="86">
        <f>SUM(H33:H34)</f>
        <v>249.83570725477443</v>
      </c>
      <c r="I35" s="86">
        <f t="shared" ref="I35:Q35" si="23">SUM(I33:I34)</f>
        <v>253.2052965128164</v>
      </c>
      <c r="J35" s="86">
        <f t="shared" si="23"/>
        <v>255.36000905298363</v>
      </c>
      <c r="K35" s="86">
        <f t="shared" si="23"/>
        <v>256.3735170799244</v>
      </c>
      <c r="L35" s="86">
        <f t="shared" si="23"/>
        <v>256.29351765699158</v>
      </c>
      <c r="M35" s="86">
        <f t="shared" si="23"/>
        <v>255.25887011679691</v>
      </c>
      <c r="N35" s="86">
        <f t="shared" si="23"/>
        <v>253.5167912644454</v>
      </c>
      <c r="O35" s="86">
        <f t="shared" si="23"/>
        <v>251.41242322094979</v>
      </c>
      <c r="P35" s="86">
        <f t="shared" si="23"/>
        <v>249.40230086388948</v>
      </c>
      <c r="Q35" s="86">
        <f t="shared" si="23"/>
        <v>248.04993199741301</v>
      </c>
      <c r="R35" s="86">
        <f>SUM(R33:R34)</f>
        <v>237.98830026118878</v>
      </c>
    </row>
    <row r="36" spans="1:18" s="36" customFormat="1" x14ac:dyDescent="0.25"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</row>
    <row r="37" spans="1:18" x14ac:dyDescent="0.25">
      <c r="A37" s="81" t="s">
        <v>765</v>
      </c>
      <c r="B37" s="81"/>
      <c r="C37" s="81"/>
      <c r="D37" s="81"/>
      <c r="E37" s="81"/>
      <c r="F37" s="81"/>
      <c r="G37" s="81"/>
      <c r="H37" s="195">
        <f>I35*(10^6)</f>
        <v>253205296.5128164</v>
      </c>
    </row>
    <row r="38" spans="1:18" x14ac:dyDescent="0.25">
      <c r="A38" s="81" t="s">
        <v>1076</v>
      </c>
      <c r="B38" s="81"/>
      <c r="C38" s="81"/>
      <c r="D38" s="81"/>
      <c r="E38" s="81"/>
      <c r="F38" s="81"/>
      <c r="G38" s="81"/>
      <c r="H38" s="195">
        <f>SUM(DADOS!M16:M17)*(10^6)</f>
        <v>64619000</v>
      </c>
    </row>
    <row r="39" spans="1:18" x14ac:dyDescent="0.25">
      <c r="A39" s="81" t="s">
        <v>1077</v>
      </c>
      <c r="B39" s="81"/>
      <c r="C39" s="81"/>
      <c r="D39" s="81"/>
      <c r="E39" s="81"/>
      <c r="F39" s="81"/>
      <c r="G39" s="81"/>
      <c r="H39" s="195">
        <f>H37-H38</f>
        <v>188586296.5128164</v>
      </c>
    </row>
    <row r="40" spans="1:18" x14ac:dyDescent="0.25">
      <c r="A40" s="81" t="s">
        <v>1052</v>
      </c>
      <c r="B40" s="81"/>
      <c r="C40" s="81"/>
      <c r="D40" s="81"/>
      <c r="E40" s="81"/>
      <c r="F40" s="81"/>
      <c r="G40" s="81"/>
      <c r="H40" s="195">
        <v>63084700</v>
      </c>
      <c r="J40" s="141"/>
    </row>
    <row r="41" spans="1:18" x14ac:dyDescent="0.25">
      <c r="A41" s="81" t="s">
        <v>764</v>
      </c>
      <c r="B41" s="81"/>
      <c r="C41" s="81"/>
      <c r="D41" s="81"/>
      <c r="E41" s="81"/>
      <c r="F41" s="81"/>
      <c r="G41" s="81"/>
      <c r="H41" s="277">
        <f>H39/H40</f>
        <v>2.9894141766992059</v>
      </c>
    </row>
    <row r="42" spans="1:18" x14ac:dyDescent="0.25">
      <c r="J42" s="50"/>
    </row>
  </sheetData>
  <conditionalFormatting sqref="C16:R16">
    <cfRule type="cellIs" dxfId="1" priority="2" operator="lessThan">
      <formula>0</formula>
    </cfRule>
  </conditionalFormatting>
  <conditionalFormatting sqref="I30:R30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FE08-E9B1-4A64-A592-E36FF59D39B6}">
  <sheetPr>
    <tabColor theme="3" tint="0.79998168889431442"/>
  </sheetPr>
  <dimension ref="B1:F14"/>
  <sheetViews>
    <sheetView showGridLines="0" workbookViewId="0">
      <selection activeCell="C6" sqref="C6"/>
    </sheetView>
  </sheetViews>
  <sheetFormatPr defaultRowHeight="15" x14ac:dyDescent="0.25"/>
  <cols>
    <col min="2" max="2" width="32.140625" bestFit="1" customWidth="1"/>
    <col min="3" max="3" width="18" bestFit="1" customWidth="1"/>
  </cols>
  <sheetData>
    <row r="1" spans="2:6" x14ac:dyDescent="0.25">
      <c r="B1" s="278" t="s">
        <v>1056</v>
      </c>
      <c r="C1" s="279"/>
      <c r="D1" s="279"/>
      <c r="E1" s="279"/>
      <c r="F1" s="280"/>
    </row>
    <row r="2" spans="2:6" x14ac:dyDescent="0.25">
      <c r="B2" s="114"/>
      <c r="C2" s="32"/>
      <c r="D2" s="32"/>
      <c r="E2" s="32"/>
      <c r="F2" s="115"/>
    </row>
    <row r="3" spans="2:6" x14ac:dyDescent="0.25">
      <c r="B3" s="281" t="s">
        <v>1054</v>
      </c>
      <c r="C3" s="282"/>
      <c r="D3" s="282"/>
      <c r="E3" s="282"/>
      <c r="F3" s="283"/>
    </row>
    <row r="4" spans="2:6" x14ac:dyDescent="0.25">
      <c r="B4" s="164" t="s">
        <v>1055</v>
      </c>
      <c r="C4" s="267">
        <v>255393000</v>
      </c>
      <c r="D4" s="32"/>
      <c r="E4" s="32"/>
      <c r="F4" s="115"/>
    </row>
    <row r="5" spans="2:6" x14ac:dyDescent="0.25">
      <c r="B5" s="164" t="s">
        <v>1057</v>
      </c>
      <c r="C5" s="268">
        <f>'Aval. Fluxo de Caixa Descontado'!H40</f>
        <v>63084700</v>
      </c>
      <c r="D5" s="32"/>
      <c r="E5" s="32"/>
      <c r="F5" s="115"/>
    </row>
    <row r="6" spans="2:6" ht="15.75" thickBot="1" x14ac:dyDescent="0.3">
      <c r="B6" s="269" t="s">
        <v>1058</v>
      </c>
      <c r="C6" s="270">
        <f>C4/C5</f>
        <v>4.0484142747766096</v>
      </c>
      <c r="D6" s="169"/>
      <c r="E6" s="169"/>
      <c r="F6" s="170"/>
    </row>
    <row r="8" spans="2:6" ht="15.75" thickBot="1" x14ac:dyDescent="0.3"/>
    <row r="9" spans="2:6" x14ac:dyDescent="0.25">
      <c r="B9" s="278" t="s">
        <v>1059</v>
      </c>
      <c r="C9" s="279"/>
      <c r="D9" s="279"/>
      <c r="E9" s="279"/>
      <c r="F9" s="280"/>
    </row>
    <row r="10" spans="2:6" x14ac:dyDescent="0.25">
      <c r="B10" s="164" t="s">
        <v>1060</v>
      </c>
      <c r="C10" s="267">
        <v>7.22</v>
      </c>
      <c r="D10" s="32"/>
      <c r="E10" s="32"/>
      <c r="F10" s="115"/>
    </row>
    <row r="11" spans="2:6" x14ac:dyDescent="0.25">
      <c r="B11" s="272" t="s">
        <v>1058</v>
      </c>
      <c r="C11" s="271">
        <f>C4/C5</f>
        <v>4.0484142747766096</v>
      </c>
      <c r="D11" s="32"/>
      <c r="E11" s="32"/>
      <c r="F11" s="115"/>
    </row>
    <row r="12" spans="2:6" ht="15.75" thickBot="1" x14ac:dyDescent="0.3">
      <c r="B12" s="269" t="s">
        <v>1061</v>
      </c>
      <c r="C12" s="273">
        <f>C10/C11</f>
        <v>1.7834143222406253</v>
      </c>
      <c r="D12" s="169"/>
      <c r="E12" s="169"/>
      <c r="F12" s="170"/>
    </row>
    <row r="14" spans="2:6" x14ac:dyDescent="0.25">
      <c r="B14" s="29" t="s">
        <v>1062</v>
      </c>
    </row>
  </sheetData>
  <mergeCells count="3">
    <mergeCell ref="B1:F1"/>
    <mergeCell ref="B3:F3"/>
    <mergeCell ref="B9:F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DE2B-5637-439F-AD6E-38234EBA7986}">
  <sheetPr>
    <tabColor theme="3" tint="0.79998168889431442"/>
  </sheetPr>
  <dimension ref="B1:V96"/>
  <sheetViews>
    <sheetView showGridLines="0" workbookViewId="0">
      <selection activeCell="V3" sqref="V3"/>
    </sheetView>
  </sheetViews>
  <sheetFormatPr defaultRowHeight="15" x14ac:dyDescent="0.25"/>
  <cols>
    <col min="2" max="2" width="32.140625" bestFit="1" customWidth="1"/>
    <col min="3" max="3" width="18" bestFit="1" customWidth="1"/>
    <col min="15" max="16" width="9.140625" bestFit="1" customWidth="1"/>
  </cols>
  <sheetData>
    <row r="1" spans="2:22" x14ac:dyDescent="0.25">
      <c r="O1" s="274" t="s">
        <v>1068</v>
      </c>
      <c r="P1" s="274" t="s">
        <v>1069</v>
      </c>
      <c r="Q1" s="274" t="s">
        <v>1064</v>
      </c>
      <c r="R1" s="274" t="s">
        <v>1070</v>
      </c>
      <c r="S1" s="274" t="s">
        <v>1071</v>
      </c>
      <c r="T1" s="274" t="s">
        <v>1072</v>
      </c>
      <c r="V1" s="275" t="s">
        <v>1065</v>
      </c>
    </row>
    <row r="2" spans="2:22" ht="15.75" thickBot="1" x14ac:dyDescent="0.3">
      <c r="O2" s="276">
        <v>7.98</v>
      </c>
      <c r="P2">
        <v>4</v>
      </c>
      <c r="Q2">
        <v>700</v>
      </c>
      <c r="R2">
        <v>0</v>
      </c>
      <c r="S2">
        <v>0</v>
      </c>
      <c r="T2">
        <v>700</v>
      </c>
      <c r="V2" t="s">
        <v>1075</v>
      </c>
    </row>
    <row r="3" spans="2:22" x14ac:dyDescent="0.25">
      <c r="B3" s="278" t="s">
        <v>1063</v>
      </c>
      <c r="C3" s="279"/>
      <c r="D3" s="279"/>
      <c r="E3" s="279"/>
      <c r="F3" s="280"/>
      <c r="O3" s="276">
        <v>7.8</v>
      </c>
      <c r="P3">
        <v>36</v>
      </c>
      <c r="Q3">
        <v>3600</v>
      </c>
      <c r="R3">
        <v>0</v>
      </c>
      <c r="S3">
        <v>0</v>
      </c>
      <c r="T3">
        <v>3600</v>
      </c>
    </row>
    <row r="4" spans="2:22" x14ac:dyDescent="0.25">
      <c r="B4" s="164" t="s">
        <v>1074</v>
      </c>
      <c r="C4" s="267"/>
      <c r="D4" s="32"/>
      <c r="E4" s="32"/>
      <c r="F4" s="115"/>
      <c r="O4" s="276">
        <v>7.79</v>
      </c>
      <c r="P4">
        <v>5</v>
      </c>
      <c r="Q4">
        <v>800</v>
      </c>
      <c r="R4">
        <v>200</v>
      </c>
      <c r="S4">
        <v>100</v>
      </c>
      <c r="T4">
        <v>500</v>
      </c>
    </row>
    <row r="5" spans="2:22" ht="15.75" thickBot="1" x14ac:dyDescent="0.3">
      <c r="B5" s="269" t="s">
        <v>1066</v>
      </c>
      <c r="C5" s="270">
        <f>(SUMPRODUCT(O2:O95,Q2:Q95))/Q96</f>
        <v>7.2103614457831329</v>
      </c>
      <c r="D5" s="169"/>
      <c r="E5" s="169"/>
      <c r="F5" s="170"/>
      <c r="O5" s="276">
        <v>7.77</v>
      </c>
      <c r="P5">
        <v>2</v>
      </c>
      <c r="Q5">
        <v>200</v>
      </c>
      <c r="R5">
        <v>0</v>
      </c>
      <c r="S5">
        <v>0</v>
      </c>
      <c r="T5">
        <v>200</v>
      </c>
    </row>
    <row r="6" spans="2:22" x14ac:dyDescent="0.25">
      <c r="O6" s="276">
        <v>7.75</v>
      </c>
      <c r="P6">
        <v>5</v>
      </c>
      <c r="Q6">
        <v>700</v>
      </c>
      <c r="R6">
        <v>200</v>
      </c>
      <c r="S6">
        <v>400</v>
      </c>
      <c r="T6">
        <v>100</v>
      </c>
    </row>
    <row r="7" spans="2:22" x14ac:dyDescent="0.25">
      <c r="B7" s="29"/>
      <c r="O7" s="276">
        <v>7.74</v>
      </c>
      <c r="P7">
        <v>2</v>
      </c>
      <c r="Q7">
        <v>100</v>
      </c>
      <c r="R7">
        <v>0</v>
      </c>
      <c r="S7">
        <v>0</v>
      </c>
      <c r="T7">
        <v>100</v>
      </c>
    </row>
    <row r="8" spans="2:22" x14ac:dyDescent="0.25">
      <c r="O8" s="276">
        <v>7.73</v>
      </c>
      <c r="P8">
        <v>2</v>
      </c>
      <c r="Q8">
        <v>100</v>
      </c>
      <c r="R8">
        <v>0</v>
      </c>
      <c r="S8">
        <v>0</v>
      </c>
      <c r="T8">
        <v>100</v>
      </c>
    </row>
    <row r="9" spans="2:22" x14ac:dyDescent="0.25">
      <c r="O9" s="276">
        <v>7.7</v>
      </c>
      <c r="P9">
        <v>1</v>
      </c>
      <c r="Q9">
        <v>100</v>
      </c>
      <c r="R9">
        <v>0</v>
      </c>
      <c r="S9">
        <v>0</v>
      </c>
      <c r="T9">
        <v>100</v>
      </c>
    </row>
    <row r="10" spans="2:22" x14ac:dyDescent="0.25">
      <c r="O10" s="276">
        <v>7.69</v>
      </c>
      <c r="P10">
        <v>3</v>
      </c>
      <c r="Q10">
        <v>200</v>
      </c>
      <c r="R10">
        <v>0</v>
      </c>
      <c r="S10">
        <v>100</v>
      </c>
      <c r="T10">
        <v>100</v>
      </c>
    </row>
    <row r="11" spans="2:22" x14ac:dyDescent="0.25">
      <c r="O11" s="276">
        <v>7.68</v>
      </c>
      <c r="P11">
        <v>3</v>
      </c>
      <c r="Q11">
        <v>400</v>
      </c>
      <c r="R11">
        <v>100</v>
      </c>
      <c r="S11">
        <v>200</v>
      </c>
      <c r="T11">
        <v>100</v>
      </c>
    </row>
    <row r="12" spans="2:22" x14ac:dyDescent="0.25">
      <c r="O12" s="276">
        <v>7.67</v>
      </c>
      <c r="P12">
        <v>3</v>
      </c>
      <c r="Q12">
        <v>300</v>
      </c>
      <c r="R12">
        <v>0</v>
      </c>
      <c r="S12">
        <v>0</v>
      </c>
      <c r="T12">
        <v>300</v>
      </c>
    </row>
    <row r="13" spans="2:22" x14ac:dyDescent="0.25">
      <c r="O13" s="276">
        <v>7.66</v>
      </c>
      <c r="P13">
        <v>3</v>
      </c>
      <c r="Q13">
        <v>300</v>
      </c>
      <c r="R13">
        <v>0</v>
      </c>
      <c r="S13">
        <v>100</v>
      </c>
      <c r="T13">
        <v>200</v>
      </c>
    </row>
    <row r="14" spans="2:22" x14ac:dyDescent="0.25">
      <c r="O14" s="276">
        <v>7.65</v>
      </c>
      <c r="P14">
        <v>1</v>
      </c>
      <c r="Q14">
        <v>100</v>
      </c>
      <c r="R14">
        <v>0</v>
      </c>
      <c r="S14">
        <v>0</v>
      </c>
      <c r="T14">
        <v>100</v>
      </c>
    </row>
    <row r="15" spans="2:22" x14ac:dyDescent="0.25">
      <c r="O15" s="276">
        <v>7.63</v>
      </c>
      <c r="P15">
        <v>3</v>
      </c>
      <c r="Q15">
        <v>400</v>
      </c>
      <c r="R15">
        <v>0</v>
      </c>
      <c r="S15">
        <v>400</v>
      </c>
      <c r="T15">
        <v>0</v>
      </c>
    </row>
    <row r="16" spans="2:22" x14ac:dyDescent="0.25">
      <c r="O16" s="276">
        <v>7.6</v>
      </c>
      <c r="P16">
        <v>5</v>
      </c>
      <c r="Q16">
        <v>600</v>
      </c>
      <c r="R16">
        <v>0</v>
      </c>
      <c r="S16">
        <v>100</v>
      </c>
      <c r="T16">
        <v>500</v>
      </c>
    </row>
    <row r="17" spans="15:20" x14ac:dyDescent="0.25">
      <c r="O17" s="276">
        <v>7.59</v>
      </c>
      <c r="P17">
        <v>6</v>
      </c>
      <c r="Q17">
        <v>900</v>
      </c>
      <c r="R17">
        <v>0</v>
      </c>
      <c r="S17">
        <v>0</v>
      </c>
      <c r="T17">
        <v>900</v>
      </c>
    </row>
    <row r="18" spans="15:20" x14ac:dyDescent="0.25">
      <c r="O18" s="276">
        <v>7.58</v>
      </c>
      <c r="P18">
        <v>5</v>
      </c>
      <c r="Q18">
        <v>500</v>
      </c>
      <c r="R18">
        <v>100</v>
      </c>
      <c r="S18">
        <v>300</v>
      </c>
      <c r="T18">
        <v>100</v>
      </c>
    </row>
    <row r="19" spans="15:20" x14ac:dyDescent="0.25">
      <c r="O19" s="276">
        <v>7.57</v>
      </c>
      <c r="P19">
        <v>2</v>
      </c>
      <c r="Q19">
        <v>300</v>
      </c>
      <c r="R19">
        <v>0</v>
      </c>
      <c r="S19">
        <v>0</v>
      </c>
      <c r="T19">
        <v>300</v>
      </c>
    </row>
    <row r="20" spans="15:20" x14ac:dyDescent="0.25">
      <c r="O20" s="276">
        <v>7.53</v>
      </c>
      <c r="P20">
        <v>5</v>
      </c>
      <c r="Q20">
        <v>500</v>
      </c>
      <c r="R20">
        <v>0</v>
      </c>
      <c r="S20">
        <v>200</v>
      </c>
      <c r="T20">
        <v>300</v>
      </c>
    </row>
    <row r="21" spans="15:20" x14ac:dyDescent="0.25">
      <c r="O21" s="276">
        <v>7.5</v>
      </c>
      <c r="P21">
        <v>3</v>
      </c>
      <c r="Q21">
        <v>400</v>
      </c>
      <c r="R21">
        <v>300</v>
      </c>
      <c r="S21">
        <v>0</v>
      </c>
      <c r="T21">
        <v>100</v>
      </c>
    </row>
    <row r="22" spans="15:20" x14ac:dyDescent="0.25">
      <c r="O22" s="276">
        <v>7.49</v>
      </c>
      <c r="P22">
        <v>5</v>
      </c>
      <c r="Q22">
        <v>700</v>
      </c>
      <c r="R22">
        <v>0</v>
      </c>
      <c r="S22">
        <v>0</v>
      </c>
      <c r="T22">
        <v>700</v>
      </c>
    </row>
    <row r="23" spans="15:20" x14ac:dyDescent="0.25">
      <c r="O23" s="276">
        <v>7.48</v>
      </c>
      <c r="P23">
        <v>15</v>
      </c>
      <c r="Q23">
        <v>2100</v>
      </c>
      <c r="R23">
        <v>500</v>
      </c>
      <c r="S23">
        <v>300</v>
      </c>
      <c r="T23">
        <v>1300</v>
      </c>
    </row>
    <row r="24" spans="15:20" x14ac:dyDescent="0.25">
      <c r="O24" s="276">
        <v>7.47</v>
      </c>
      <c r="P24">
        <v>6</v>
      </c>
      <c r="Q24">
        <v>800</v>
      </c>
      <c r="R24">
        <v>0</v>
      </c>
      <c r="S24">
        <v>100</v>
      </c>
      <c r="T24">
        <v>700</v>
      </c>
    </row>
    <row r="25" spans="15:20" x14ac:dyDescent="0.25">
      <c r="O25" s="276">
        <v>7.46</v>
      </c>
      <c r="P25">
        <v>1</v>
      </c>
      <c r="Q25">
        <v>100</v>
      </c>
      <c r="R25">
        <v>0</v>
      </c>
      <c r="S25">
        <v>0</v>
      </c>
      <c r="T25">
        <v>100</v>
      </c>
    </row>
    <row r="26" spans="15:20" x14ac:dyDescent="0.25">
      <c r="O26" s="276">
        <v>7.43</v>
      </c>
      <c r="P26">
        <v>2</v>
      </c>
      <c r="Q26">
        <v>200</v>
      </c>
      <c r="R26">
        <v>0</v>
      </c>
      <c r="S26">
        <v>100</v>
      </c>
      <c r="T26">
        <v>100</v>
      </c>
    </row>
    <row r="27" spans="15:20" x14ac:dyDescent="0.25">
      <c r="O27" s="276">
        <v>7.41</v>
      </c>
      <c r="P27">
        <v>1</v>
      </c>
      <c r="Q27">
        <v>200</v>
      </c>
      <c r="R27">
        <v>0</v>
      </c>
      <c r="S27">
        <v>200</v>
      </c>
      <c r="T27">
        <v>0</v>
      </c>
    </row>
    <row r="28" spans="15:20" x14ac:dyDescent="0.25">
      <c r="O28" s="276">
        <v>7.4</v>
      </c>
      <c r="P28">
        <v>11</v>
      </c>
      <c r="Q28">
        <v>800</v>
      </c>
      <c r="R28">
        <v>600</v>
      </c>
      <c r="S28">
        <v>100</v>
      </c>
      <c r="T28">
        <v>100</v>
      </c>
    </row>
    <row r="29" spans="15:20" x14ac:dyDescent="0.25">
      <c r="O29" s="276">
        <v>7.39</v>
      </c>
      <c r="P29">
        <v>7</v>
      </c>
      <c r="Q29">
        <v>900</v>
      </c>
      <c r="R29">
        <v>100</v>
      </c>
      <c r="S29">
        <v>100</v>
      </c>
      <c r="T29">
        <v>700</v>
      </c>
    </row>
    <row r="30" spans="15:20" x14ac:dyDescent="0.25">
      <c r="O30" s="276">
        <v>7.38</v>
      </c>
      <c r="P30">
        <v>3</v>
      </c>
      <c r="Q30">
        <v>200</v>
      </c>
      <c r="R30">
        <v>0</v>
      </c>
      <c r="S30">
        <v>100</v>
      </c>
      <c r="T30">
        <v>100</v>
      </c>
    </row>
    <row r="31" spans="15:20" x14ac:dyDescent="0.25">
      <c r="O31" s="276">
        <v>7.37</v>
      </c>
      <c r="P31">
        <v>2</v>
      </c>
      <c r="Q31">
        <v>100</v>
      </c>
      <c r="R31">
        <v>0</v>
      </c>
      <c r="S31">
        <v>0</v>
      </c>
      <c r="T31">
        <v>100</v>
      </c>
    </row>
    <row r="32" spans="15:20" x14ac:dyDescent="0.25">
      <c r="O32" s="276">
        <v>7.36</v>
      </c>
      <c r="P32">
        <v>1</v>
      </c>
      <c r="Q32">
        <v>100</v>
      </c>
      <c r="R32">
        <v>0</v>
      </c>
      <c r="S32">
        <v>0</v>
      </c>
      <c r="T32">
        <v>100</v>
      </c>
    </row>
    <row r="33" spans="15:20" x14ac:dyDescent="0.25">
      <c r="O33" s="276">
        <v>7.35</v>
      </c>
      <c r="P33">
        <v>8</v>
      </c>
      <c r="Q33">
        <v>900</v>
      </c>
      <c r="R33">
        <v>0</v>
      </c>
      <c r="S33">
        <v>500</v>
      </c>
      <c r="T33">
        <v>400</v>
      </c>
    </row>
    <row r="34" spans="15:20" x14ac:dyDescent="0.25">
      <c r="O34" s="276">
        <v>7.34</v>
      </c>
      <c r="P34">
        <v>2</v>
      </c>
      <c r="Q34">
        <v>200</v>
      </c>
      <c r="R34">
        <v>0</v>
      </c>
      <c r="S34">
        <v>100</v>
      </c>
      <c r="T34">
        <v>100</v>
      </c>
    </row>
    <row r="35" spans="15:20" x14ac:dyDescent="0.25">
      <c r="O35" s="276">
        <v>7.32</v>
      </c>
      <c r="P35">
        <v>4</v>
      </c>
      <c r="Q35">
        <v>600</v>
      </c>
      <c r="R35">
        <v>0</v>
      </c>
      <c r="S35">
        <v>0</v>
      </c>
      <c r="T35">
        <v>600</v>
      </c>
    </row>
    <row r="36" spans="15:20" x14ac:dyDescent="0.25">
      <c r="O36" s="276">
        <v>7.31</v>
      </c>
      <c r="P36">
        <v>3</v>
      </c>
      <c r="Q36">
        <v>300</v>
      </c>
      <c r="R36">
        <v>100</v>
      </c>
      <c r="S36">
        <v>100</v>
      </c>
      <c r="T36">
        <v>100</v>
      </c>
    </row>
    <row r="37" spans="15:20" x14ac:dyDescent="0.25">
      <c r="O37" s="276">
        <v>7.3</v>
      </c>
      <c r="P37">
        <v>11</v>
      </c>
      <c r="Q37">
        <v>2200</v>
      </c>
      <c r="R37">
        <v>800</v>
      </c>
      <c r="S37">
        <v>1100</v>
      </c>
      <c r="T37">
        <v>300</v>
      </c>
    </row>
    <row r="38" spans="15:20" x14ac:dyDescent="0.25">
      <c r="O38" s="276">
        <v>7.29</v>
      </c>
      <c r="P38">
        <v>9</v>
      </c>
      <c r="Q38">
        <v>600</v>
      </c>
      <c r="R38">
        <v>0</v>
      </c>
      <c r="S38">
        <v>200</v>
      </c>
      <c r="T38">
        <v>400</v>
      </c>
    </row>
    <row r="39" spans="15:20" x14ac:dyDescent="0.25">
      <c r="O39" s="276">
        <v>7.28</v>
      </c>
      <c r="P39">
        <v>1</v>
      </c>
      <c r="Q39">
        <v>100</v>
      </c>
      <c r="R39">
        <v>0</v>
      </c>
      <c r="S39">
        <v>0</v>
      </c>
      <c r="T39">
        <v>100</v>
      </c>
    </row>
    <row r="40" spans="15:20" x14ac:dyDescent="0.25">
      <c r="O40" s="276">
        <v>7.27</v>
      </c>
      <c r="P40">
        <v>2</v>
      </c>
      <c r="Q40">
        <v>200</v>
      </c>
      <c r="R40">
        <v>200</v>
      </c>
      <c r="S40">
        <v>0</v>
      </c>
      <c r="T40">
        <v>0</v>
      </c>
    </row>
    <row r="41" spans="15:20" x14ac:dyDescent="0.25">
      <c r="O41" s="276">
        <v>7.26</v>
      </c>
      <c r="P41">
        <v>8</v>
      </c>
      <c r="Q41">
        <v>1100</v>
      </c>
      <c r="R41">
        <v>600</v>
      </c>
      <c r="S41">
        <v>0</v>
      </c>
      <c r="T41">
        <v>500</v>
      </c>
    </row>
    <row r="42" spans="15:20" x14ac:dyDescent="0.25">
      <c r="O42" s="276">
        <v>7.25</v>
      </c>
      <c r="P42">
        <v>4</v>
      </c>
      <c r="Q42">
        <v>500</v>
      </c>
      <c r="R42">
        <v>0</v>
      </c>
      <c r="S42">
        <v>300</v>
      </c>
      <c r="T42">
        <v>200</v>
      </c>
    </row>
    <row r="43" spans="15:20" x14ac:dyDescent="0.25">
      <c r="O43" s="276">
        <v>7.24</v>
      </c>
      <c r="P43">
        <v>6</v>
      </c>
      <c r="Q43">
        <v>500</v>
      </c>
      <c r="R43">
        <v>100</v>
      </c>
      <c r="S43">
        <v>200</v>
      </c>
      <c r="T43">
        <v>200</v>
      </c>
    </row>
    <row r="44" spans="15:20" x14ac:dyDescent="0.25">
      <c r="O44" s="276">
        <v>7.23</v>
      </c>
      <c r="P44">
        <v>14</v>
      </c>
      <c r="Q44">
        <v>1600</v>
      </c>
      <c r="R44">
        <v>800</v>
      </c>
      <c r="S44">
        <v>800</v>
      </c>
      <c r="T44">
        <v>0</v>
      </c>
    </row>
    <row r="45" spans="15:20" x14ac:dyDescent="0.25">
      <c r="O45" s="276">
        <v>7.22</v>
      </c>
      <c r="P45">
        <v>10</v>
      </c>
      <c r="Q45">
        <v>1200</v>
      </c>
      <c r="R45">
        <v>600</v>
      </c>
      <c r="S45">
        <v>400</v>
      </c>
      <c r="T45">
        <v>200</v>
      </c>
    </row>
    <row r="46" spans="15:20" x14ac:dyDescent="0.25">
      <c r="O46" s="276">
        <v>7.21</v>
      </c>
      <c r="P46">
        <v>20</v>
      </c>
      <c r="Q46">
        <v>3100</v>
      </c>
      <c r="R46">
        <v>1000</v>
      </c>
      <c r="S46">
        <v>900</v>
      </c>
      <c r="T46">
        <v>1200</v>
      </c>
    </row>
    <row r="47" spans="15:20" x14ac:dyDescent="0.25">
      <c r="O47" s="276">
        <v>7.2</v>
      </c>
      <c r="P47">
        <v>13</v>
      </c>
      <c r="Q47">
        <v>2000</v>
      </c>
      <c r="R47">
        <v>1000</v>
      </c>
      <c r="S47">
        <v>400</v>
      </c>
      <c r="T47">
        <v>600</v>
      </c>
    </row>
    <row r="48" spans="15:20" x14ac:dyDescent="0.25">
      <c r="O48" s="276">
        <v>7.19</v>
      </c>
      <c r="P48">
        <v>5</v>
      </c>
      <c r="Q48">
        <v>1000</v>
      </c>
      <c r="R48">
        <v>900</v>
      </c>
      <c r="S48">
        <v>100</v>
      </c>
      <c r="T48">
        <v>0</v>
      </c>
    </row>
    <row r="49" spans="15:20" x14ac:dyDescent="0.25">
      <c r="O49" s="276">
        <v>7.18</v>
      </c>
      <c r="P49">
        <v>6</v>
      </c>
      <c r="Q49">
        <v>1500</v>
      </c>
      <c r="R49">
        <v>1400</v>
      </c>
      <c r="S49">
        <v>100</v>
      </c>
      <c r="T49">
        <v>0</v>
      </c>
    </row>
    <row r="50" spans="15:20" x14ac:dyDescent="0.25">
      <c r="O50" s="276">
        <v>7.17</v>
      </c>
      <c r="P50">
        <v>10</v>
      </c>
      <c r="Q50">
        <v>1500</v>
      </c>
      <c r="R50">
        <v>900</v>
      </c>
      <c r="S50">
        <v>400</v>
      </c>
      <c r="T50">
        <v>200</v>
      </c>
    </row>
    <row r="51" spans="15:20" x14ac:dyDescent="0.25">
      <c r="O51" s="276">
        <v>7.16</v>
      </c>
      <c r="P51">
        <v>10</v>
      </c>
      <c r="Q51">
        <v>2100</v>
      </c>
      <c r="R51">
        <v>1600</v>
      </c>
      <c r="S51">
        <v>500</v>
      </c>
      <c r="T51">
        <v>0</v>
      </c>
    </row>
    <row r="52" spans="15:20" x14ac:dyDescent="0.25">
      <c r="O52" s="276">
        <v>7.15</v>
      </c>
      <c r="P52">
        <v>9</v>
      </c>
      <c r="Q52">
        <v>2000</v>
      </c>
      <c r="R52">
        <v>1500</v>
      </c>
      <c r="S52">
        <v>100</v>
      </c>
      <c r="T52">
        <v>400</v>
      </c>
    </row>
    <row r="53" spans="15:20" x14ac:dyDescent="0.25">
      <c r="O53" s="276">
        <v>7.14</v>
      </c>
      <c r="P53">
        <v>5</v>
      </c>
      <c r="Q53">
        <v>600</v>
      </c>
      <c r="R53">
        <v>300</v>
      </c>
      <c r="S53">
        <v>0</v>
      </c>
      <c r="T53">
        <v>300</v>
      </c>
    </row>
    <row r="54" spans="15:20" x14ac:dyDescent="0.25">
      <c r="O54" s="276">
        <v>7.13</v>
      </c>
      <c r="P54">
        <v>7</v>
      </c>
      <c r="Q54">
        <v>800</v>
      </c>
      <c r="R54">
        <v>500</v>
      </c>
      <c r="S54">
        <v>100</v>
      </c>
      <c r="T54">
        <v>200</v>
      </c>
    </row>
    <row r="55" spans="15:20" x14ac:dyDescent="0.25">
      <c r="O55" s="276">
        <v>7.12</v>
      </c>
      <c r="P55">
        <v>3</v>
      </c>
      <c r="Q55">
        <v>300</v>
      </c>
      <c r="R55">
        <v>100</v>
      </c>
      <c r="S55">
        <v>100</v>
      </c>
      <c r="T55">
        <v>100</v>
      </c>
    </row>
    <row r="56" spans="15:20" x14ac:dyDescent="0.25">
      <c r="O56" s="276">
        <v>7.11</v>
      </c>
      <c r="P56">
        <v>2</v>
      </c>
      <c r="Q56">
        <v>300</v>
      </c>
      <c r="R56">
        <v>200</v>
      </c>
      <c r="S56">
        <v>100</v>
      </c>
      <c r="T56">
        <v>0</v>
      </c>
    </row>
    <row r="57" spans="15:20" x14ac:dyDescent="0.25">
      <c r="O57" s="276">
        <v>7.1</v>
      </c>
      <c r="P57">
        <v>3</v>
      </c>
      <c r="Q57">
        <v>300</v>
      </c>
      <c r="R57">
        <v>200</v>
      </c>
      <c r="S57">
        <v>0</v>
      </c>
      <c r="T57">
        <v>100</v>
      </c>
    </row>
    <row r="58" spans="15:20" x14ac:dyDescent="0.25">
      <c r="O58" s="276">
        <v>7.09</v>
      </c>
      <c r="P58">
        <v>5</v>
      </c>
      <c r="Q58">
        <v>400</v>
      </c>
      <c r="R58">
        <v>200</v>
      </c>
      <c r="S58">
        <v>100</v>
      </c>
      <c r="T58">
        <v>100</v>
      </c>
    </row>
    <row r="59" spans="15:20" x14ac:dyDescent="0.25">
      <c r="O59" s="276">
        <v>7.08</v>
      </c>
      <c r="P59">
        <v>8</v>
      </c>
      <c r="Q59">
        <v>700</v>
      </c>
      <c r="R59">
        <v>500</v>
      </c>
      <c r="S59">
        <v>100</v>
      </c>
      <c r="T59">
        <v>100</v>
      </c>
    </row>
    <row r="60" spans="15:20" x14ac:dyDescent="0.25">
      <c r="O60" s="276">
        <v>7.07</v>
      </c>
      <c r="P60">
        <v>7</v>
      </c>
      <c r="Q60">
        <v>700</v>
      </c>
      <c r="R60">
        <v>500</v>
      </c>
      <c r="S60">
        <v>200</v>
      </c>
      <c r="T60">
        <v>0</v>
      </c>
    </row>
    <row r="61" spans="15:20" x14ac:dyDescent="0.25">
      <c r="O61" s="276">
        <v>7.06</v>
      </c>
      <c r="P61">
        <v>4</v>
      </c>
      <c r="Q61">
        <v>1200</v>
      </c>
      <c r="R61">
        <v>200</v>
      </c>
      <c r="S61">
        <v>0</v>
      </c>
      <c r="T61">
        <v>1000</v>
      </c>
    </row>
    <row r="62" spans="15:20" x14ac:dyDescent="0.25">
      <c r="O62" s="276">
        <v>7.05</v>
      </c>
      <c r="P62">
        <v>4</v>
      </c>
      <c r="Q62">
        <v>600</v>
      </c>
      <c r="R62">
        <v>600</v>
      </c>
      <c r="S62">
        <v>0</v>
      </c>
      <c r="T62">
        <v>0</v>
      </c>
    </row>
    <row r="63" spans="15:20" x14ac:dyDescent="0.25">
      <c r="O63" s="276">
        <v>7.04</v>
      </c>
      <c r="P63">
        <v>1</v>
      </c>
      <c r="Q63">
        <v>100</v>
      </c>
      <c r="R63">
        <v>0</v>
      </c>
      <c r="S63">
        <v>0</v>
      </c>
      <c r="T63">
        <v>100</v>
      </c>
    </row>
    <row r="64" spans="15:20" x14ac:dyDescent="0.25">
      <c r="O64" s="276">
        <v>7.03</v>
      </c>
      <c r="P64">
        <v>1</v>
      </c>
      <c r="Q64">
        <v>400</v>
      </c>
      <c r="R64">
        <v>0</v>
      </c>
      <c r="S64">
        <v>0</v>
      </c>
      <c r="T64">
        <v>400</v>
      </c>
    </row>
    <row r="65" spans="15:20" x14ac:dyDescent="0.25">
      <c r="O65" s="276">
        <v>7.02</v>
      </c>
      <c r="P65">
        <v>3</v>
      </c>
      <c r="Q65">
        <v>300</v>
      </c>
      <c r="R65">
        <v>200</v>
      </c>
      <c r="S65">
        <v>0</v>
      </c>
      <c r="T65">
        <v>100</v>
      </c>
    </row>
    <row r="66" spans="15:20" x14ac:dyDescent="0.25">
      <c r="O66" s="276">
        <v>7.01</v>
      </c>
      <c r="P66">
        <v>10</v>
      </c>
      <c r="Q66">
        <v>1900</v>
      </c>
      <c r="R66">
        <v>1000</v>
      </c>
      <c r="S66">
        <v>700</v>
      </c>
      <c r="T66">
        <v>200</v>
      </c>
    </row>
    <row r="67" spans="15:20" x14ac:dyDescent="0.25">
      <c r="O67" s="276">
        <v>7</v>
      </c>
      <c r="P67">
        <v>16</v>
      </c>
      <c r="Q67">
        <v>2700</v>
      </c>
      <c r="R67">
        <v>800</v>
      </c>
      <c r="S67">
        <v>1000</v>
      </c>
      <c r="T67">
        <v>900</v>
      </c>
    </row>
    <row r="68" spans="15:20" x14ac:dyDescent="0.25">
      <c r="O68" s="276">
        <v>6.99</v>
      </c>
      <c r="P68">
        <v>1</v>
      </c>
      <c r="Q68">
        <v>100</v>
      </c>
      <c r="R68">
        <v>0</v>
      </c>
      <c r="S68">
        <v>0</v>
      </c>
      <c r="T68">
        <v>100</v>
      </c>
    </row>
    <row r="69" spans="15:20" x14ac:dyDescent="0.25">
      <c r="O69" s="276">
        <v>6.98</v>
      </c>
      <c r="P69">
        <v>1</v>
      </c>
      <c r="Q69">
        <v>200</v>
      </c>
      <c r="R69">
        <v>0</v>
      </c>
      <c r="S69">
        <v>0</v>
      </c>
      <c r="T69">
        <v>200</v>
      </c>
    </row>
    <row r="70" spans="15:20" x14ac:dyDescent="0.25">
      <c r="O70" s="276">
        <v>6.96</v>
      </c>
      <c r="P70">
        <v>5</v>
      </c>
      <c r="Q70">
        <v>500</v>
      </c>
      <c r="R70">
        <v>200</v>
      </c>
      <c r="S70">
        <v>200</v>
      </c>
      <c r="T70">
        <v>100</v>
      </c>
    </row>
    <row r="71" spans="15:20" x14ac:dyDescent="0.25">
      <c r="O71" s="276">
        <v>6.95</v>
      </c>
      <c r="P71">
        <v>5</v>
      </c>
      <c r="Q71">
        <v>600</v>
      </c>
      <c r="R71">
        <v>300</v>
      </c>
      <c r="S71">
        <v>0</v>
      </c>
      <c r="T71">
        <v>300</v>
      </c>
    </row>
    <row r="72" spans="15:20" x14ac:dyDescent="0.25">
      <c r="O72" s="276">
        <v>6.94</v>
      </c>
      <c r="P72">
        <v>1</v>
      </c>
      <c r="Q72">
        <v>200</v>
      </c>
      <c r="R72">
        <v>0</v>
      </c>
      <c r="S72">
        <v>0</v>
      </c>
      <c r="T72">
        <v>200</v>
      </c>
    </row>
    <row r="73" spans="15:20" x14ac:dyDescent="0.25">
      <c r="O73" s="276">
        <v>6.92</v>
      </c>
      <c r="P73">
        <v>1</v>
      </c>
      <c r="Q73">
        <v>100</v>
      </c>
      <c r="R73">
        <v>100</v>
      </c>
      <c r="S73">
        <v>0</v>
      </c>
      <c r="T73">
        <v>0</v>
      </c>
    </row>
    <row r="74" spans="15:20" x14ac:dyDescent="0.25">
      <c r="O74" s="276">
        <v>6.9</v>
      </c>
      <c r="P74">
        <v>3</v>
      </c>
      <c r="Q74">
        <v>600</v>
      </c>
      <c r="R74">
        <v>300</v>
      </c>
      <c r="S74">
        <v>300</v>
      </c>
      <c r="T74">
        <v>0</v>
      </c>
    </row>
    <row r="75" spans="15:20" x14ac:dyDescent="0.25">
      <c r="O75" s="276">
        <v>6.88</v>
      </c>
      <c r="P75">
        <v>6</v>
      </c>
      <c r="Q75">
        <v>600</v>
      </c>
      <c r="R75">
        <v>500</v>
      </c>
      <c r="S75">
        <v>100</v>
      </c>
      <c r="T75">
        <v>0</v>
      </c>
    </row>
    <row r="76" spans="15:20" x14ac:dyDescent="0.25">
      <c r="O76" s="276">
        <v>6.87</v>
      </c>
      <c r="P76">
        <v>1</v>
      </c>
      <c r="Q76">
        <v>100</v>
      </c>
      <c r="R76">
        <v>100</v>
      </c>
      <c r="S76">
        <v>0</v>
      </c>
      <c r="T76">
        <v>0</v>
      </c>
    </row>
    <row r="77" spans="15:20" x14ac:dyDescent="0.25">
      <c r="O77" s="276">
        <v>6.86</v>
      </c>
      <c r="P77">
        <v>14</v>
      </c>
      <c r="Q77">
        <v>5400</v>
      </c>
      <c r="R77">
        <v>2900</v>
      </c>
      <c r="S77">
        <v>1900</v>
      </c>
      <c r="T77">
        <v>600</v>
      </c>
    </row>
    <row r="78" spans="15:20" x14ac:dyDescent="0.25">
      <c r="O78" s="276">
        <v>6.85</v>
      </c>
      <c r="P78">
        <v>8</v>
      </c>
      <c r="Q78">
        <v>1100</v>
      </c>
      <c r="R78">
        <v>1000</v>
      </c>
      <c r="S78">
        <v>0</v>
      </c>
      <c r="T78">
        <v>100</v>
      </c>
    </row>
    <row r="79" spans="15:20" x14ac:dyDescent="0.25">
      <c r="O79" s="276">
        <v>6.84</v>
      </c>
      <c r="P79">
        <v>2</v>
      </c>
      <c r="Q79">
        <v>300</v>
      </c>
      <c r="R79">
        <v>300</v>
      </c>
      <c r="S79">
        <v>0</v>
      </c>
      <c r="T79">
        <v>0</v>
      </c>
    </row>
    <row r="80" spans="15:20" x14ac:dyDescent="0.25">
      <c r="O80" s="276">
        <v>6.82</v>
      </c>
      <c r="P80">
        <v>1</v>
      </c>
      <c r="Q80">
        <v>100</v>
      </c>
      <c r="R80">
        <v>100</v>
      </c>
      <c r="S80">
        <v>0</v>
      </c>
      <c r="T80">
        <v>0</v>
      </c>
    </row>
    <row r="81" spans="15:20" x14ac:dyDescent="0.25">
      <c r="O81" s="276">
        <v>6.81</v>
      </c>
      <c r="P81">
        <v>3</v>
      </c>
      <c r="Q81">
        <v>500</v>
      </c>
      <c r="R81">
        <v>300</v>
      </c>
      <c r="S81">
        <v>200</v>
      </c>
      <c r="T81">
        <v>0</v>
      </c>
    </row>
    <row r="82" spans="15:20" x14ac:dyDescent="0.25">
      <c r="O82" s="276">
        <v>6.8</v>
      </c>
      <c r="P82">
        <v>6</v>
      </c>
      <c r="Q82">
        <v>600</v>
      </c>
      <c r="R82">
        <v>500</v>
      </c>
      <c r="S82">
        <v>100</v>
      </c>
      <c r="T82">
        <v>0</v>
      </c>
    </row>
    <row r="83" spans="15:20" x14ac:dyDescent="0.25">
      <c r="O83" s="276">
        <v>6.79</v>
      </c>
      <c r="P83">
        <v>7</v>
      </c>
      <c r="Q83">
        <v>600</v>
      </c>
      <c r="R83">
        <v>600</v>
      </c>
      <c r="S83">
        <v>0</v>
      </c>
      <c r="T83">
        <v>0</v>
      </c>
    </row>
    <row r="84" spans="15:20" x14ac:dyDescent="0.25">
      <c r="O84" s="276">
        <v>6.78</v>
      </c>
      <c r="P84">
        <v>2</v>
      </c>
      <c r="Q84">
        <v>200</v>
      </c>
      <c r="R84">
        <v>200</v>
      </c>
      <c r="S84">
        <v>0</v>
      </c>
      <c r="T84">
        <v>0</v>
      </c>
    </row>
    <row r="85" spans="15:20" x14ac:dyDescent="0.25">
      <c r="O85" s="276">
        <v>6.77</v>
      </c>
      <c r="P85">
        <v>2</v>
      </c>
      <c r="Q85">
        <v>200</v>
      </c>
      <c r="R85">
        <v>200</v>
      </c>
      <c r="S85">
        <v>0</v>
      </c>
      <c r="T85">
        <v>0</v>
      </c>
    </row>
    <row r="86" spans="15:20" x14ac:dyDescent="0.25">
      <c r="O86" s="276">
        <v>6.76</v>
      </c>
      <c r="P86">
        <v>1</v>
      </c>
      <c r="Q86">
        <v>100</v>
      </c>
      <c r="R86">
        <v>100</v>
      </c>
      <c r="S86">
        <v>0</v>
      </c>
      <c r="T86">
        <v>0</v>
      </c>
    </row>
    <row r="87" spans="15:20" x14ac:dyDescent="0.25">
      <c r="O87" s="276">
        <v>6.75</v>
      </c>
      <c r="P87">
        <v>2</v>
      </c>
      <c r="Q87">
        <v>200</v>
      </c>
      <c r="R87">
        <v>200</v>
      </c>
      <c r="S87">
        <v>0</v>
      </c>
      <c r="T87">
        <v>0</v>
      </c>
    </row>
    <row r="88" spans="15:20" x14ac:dyDescent="0.25">
      <c r="O88" s="276">
        <v>6.73</v>
      </c>
      <c r="P88">
        <v>2</v>
      </c>
      <c r="Q88">
        <v>200</v>
      </c>
      <c r="R88">
        <v>200</v>
      </c>
      <c r="S88">
        <v>0</v>
      </c>
      <c r="T88">
        <v>0</v>
      </c>
    </row>
    <row r="89" spans="15:20" x14ac:dyDescent="0.25">
      <c r="O89" s="276">
        <v>6.7</v>
      </c>
      <c r="P89">
        <v>1</v>
      </c>
      <c r="Q89">
        <v>100</v>
      </c>
      <c r="R89">
        <v>100</v>
      </c>
      <c r="S89">
        <v>0</v>
      </c>
      <c r="T89">
        <v>0</v>
      </c>
    </row>
    <row r="90" spans="15:20" x14ac:dyDescent="0.25">
      <c r="O90" s="276">
        <v>6.69</v>
      </c>
      <c r="P90">
        <v>3</v>
      </c>
      <c r="Q90">
        <v>300</v>
      </c>
      <c r="R90">
        <v>0</v>
      </c>
      <c r="S90">
        <v>300</v>
      </c>
      <c r="T90">
        <v>0</v>
      </c>
    </row>
    <row r="91" spans="15:20" x14ac:dyDescent="0.25">
      <c r="O91" s="276">
        <v>6.68</v>
      </c>
      <c r="P91">
        <v>3</v>
      </c>
      <c r="Q91">
        <v>400</v>
      </c>
      <c r="R91">
        <v>200</v>
      </c>
      <c r="S91">
        <v>200</v>
      </c>
      <c r="T91">
        <v>0</v>
      </c>
    </row>
    <row r="92" spans="15:20" x14ac:dyDescent="0.25">
      <c r="O92" s="276">
        <v>6.6</v>
      </c>
      <c r="P92">
        <v>2</v>
      </c>
      <c r="Q92">
        <v>200</v>
      </c>
      <c r="R92">
        <v>100</v>
      </c>
      <c r="S92">
        <v>100</v>
      </c>
      <c r="T92">
        <v>0</v>
      </c>
    </row>
    <row r="93" spans="15:20" x14ac:dyDescent="0.25">
      <c r="O93" s="276">
        <v>6.57</v>
      </c>
      <c r="P93">
        <v>1</v>
      </c>
      <c r="Q93">
        <v>300</v>
      </c>
      <c r="R93">
        <v>300</v>
      </c>
      <c r="S93">
        <v>0</v>
      </c>
      <c r="T93">
        <v>0</v>
      </c>
    </row>
    <row r="94" spans="15:20" x14ac:dyDescent="0.25">
      <c r="O94" s="276">
        <v>6.54</v>
      </c>
      <c r="P94">
        <v>5</v>
      </c>
      <c r="Q94">
        <v>500</v>
      </c>
      <c r="R94">
        <v>400</v>
      </c>
      <c r="S94">
        <v>100</v>
      </c>
      <c r="T94">
        <v>0</v>
      </c>
    </row>
    <row r="95" spans="15:20" x14ac:dyDescent="0.25">
      <c r="O95" s="276">
        <v>6.53</v>
      </c>
      <c r="P95">
        <v>4</v>
      </c>
      <c r="Q95">
        <v>200</v>
      </c>
      <c r="R95">
        <v>200</v>
      </c>
      <c r="S95">
        <v>0</v>
      </c>
      <c r="T95">
        <v>0</v>
      </c>
    </row>
    <row r="96" spans="15:20" x14ac:dyDescent="0.25">
      <c r="O96" s="276" t="s">
        <v>1073</v>
      </c>
      <c r="P96">
        <v>480</v>
      </c>
      <c r="Q96">
        <v>66400</v>
      </c>
      <c r="R96">
        <v>28300</v>
      </c>
      <c r="S96">
        <v>15000</v>
      </c>
      <c r="T96">
        <v>23100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C532-8970-4D53-9449-9B81C25D5B1E}">
  <sheetPr>
    <tabColor theme="3" tint="0.79998168889431442"/>
  </sheetPr>
  <dimension ref="A1:U33"/>
  <sheetViews>
    <sheetView showGridLines="0" workbookViewId="0">
      <selection activeCell="K31" sqref="K31"/>
    </sheetView>
  </sheetViews>
  <sheetFormatPr defaultRowHeight="15" customHeight="1" x14ac:dyDescent="0.25"/>
  <cols>
    <col min="1" max="1" width="46.85546875" bestFit="1" customWidth="1"/>
    <col min="11" max="11" width="11.85546875" customWidth="1"/>
  </cols>
  <sheetData>
    <row r="1" spans="1:21" ht="15" customHeight="1" x14ac:dyDescent="0.25">
      <c r="A1" s="3" t="s">
        <v>31</v>
      </c>
    </row>
    <row r="2" spans="1:21" ht="15" customHeight="1" x14ac:dyDescent="0.25">
      <c r="A2" s="3" t="s">
        <v>718</v>
      </c>
      <c r="B2" s="4">
        <v>2016</v>
      </c>
      <c r="C2" s="4">
        <v>2017</v>
      </c>
      <c r="D2" s="4">
        <v>2018</v>
      </c>
      <c r="E2" s="4">
        <v>2019</v>
      </c>
      <c r="F2" s="4">
        <v>2020</v>
      </c>
      <c r="G2" s="4">
        <v>2021</v>
      </c>
      <c r="H2" s="4">
        <v>2022</v>
      </c>
      <c r="I2" s="4">
        <v>2023</v>
      </c>
      <c r="J2" s="4">
        <v>2024</v>
      </c>
      <c r="K2" s="4">
        <v>2025</v>
      </c>
      <c r="L2" s="4">
        <v>2026</v>
      </c>
      <c r="M2" s="4">
        <v>2027</v>
      </c>
      <c r="N2" s="4">
        <v>2028</v>
      </c>
      <c r="O2" s="4">
        <v>2029</v>
      </c>
      <c r="P2" s="4">
        <v>2030</v>
      </c>
      <c r="Q2" s="4">
        <v>2031</v>
      </c>
      <c r="R2" s="4">
        <v>2032</v>
      </c>
      <c r="S2" s="4">
        <v>2033</v>
      </c>
      <c r="T2" s="4">
        <v>2034</v>
      </c>
    </row>
    <row r="3" spans="1:21" ht="15" customHeight="1" x14ac:dyDescent="0.25">
      <c r="A3" s="6" t="s">
        <v>49</v>
      </c>
      <c r="B3" s="145">
        <v>31.353000000000002</v>
      </c>
      <c r="C3" s="145">
        <v>23.646000000000001</v>
      </c>
      <c r="D3" s="145">
        <v>33.683999999999997</v>
      </c>
      <c r="E3" s="145">
        <v>38.621000000000002</v>
      </c>
      <c r="F3" s="145">
        <v>35.93</v>
      </c>
      <c r="G3" s="145">
        <v>120.319</v>
      </c>
      <c r="H3" s="145">
        <v>72.058000000000007</v>
      </c>
      <c r="I3" s="145">
        <v>67.307000000000002</v>
      </c>
      <c r="J3" s="145">
        <v>85.998999999999995</v>
      </c>
      <c r="K3" s="146">
        <f>'Proj. Receita e MG Operacional'!H55</f>
        <v>81.447000000000003</v>
      </c>
      <c r="L3" s="146">
        <f>'Proj. Receita e MG Operacional'!I55</f>
        <v>86.813486164273712</v>
      </c>
      <c r="M3" s="146">
        <f>'Proj. Receita e MG Operacional'!J55</f>
        <v>92.035590058160281</v>
      </c>
      <c r="N3" s="146">
        <f>'Proj. Receita e MG Operacional'!K55</f>
        <v>97.043888755696685</v>
      </c>
      <c r="O3" s="146">
        <f>'Proj. Receita e MG Operacional'!L55</f>
        <v>101.76806436701898</v>
      </c>
      <c r="P3" s="146">
        <f>'Proj. Receita e MG Operacional'!M55</f>
        <v>106.13845848933495</v>
      </c>
      <c r="Q3" s="146">
        <f>'Proj. Receita e MG Operacional'!N55</f>
        <v>110.0877101649632</v>
      </c>
      <c r="R3" s="146">
        <f>'Proj. Receita e MG Operacional'!O55</f>
        <v>113.55242647509493</v>
      </c>
      <c r="S3" s="146">
        <f>'Proj. Receita e MG Operacional'!P55</f>
        <v>116.47483023563045</v>
      </c>
      <c r="T3" s="146">
        <f>'Proj. Receita e MG Operacional'!Q55</f>
        <v>118.80432684034307</v>
      </c>
    </row>
    <row r="4" spans="1:21" ht="15" customHeight="1" x14ac:dyDescent="0.25">
      <c r="A4" s="10" t="s">
        <v>728</v>
      </c>
      <c r="B4" s="149">
        <v>14.175000000000001</v>
      </c>
      <c r="C4" s="147">
        <v>10.425000000000001</v>
      </c>
      <c r="D4" s="147">
        <v>10.028</v>
      </c>
      <c r="E4" s="147">
        <v>13.006</v>
      </c>
      <c r="F4" s="147">
        <v>12.631</v>
      </c>
      <c r="G4" s="147">
        <v>13.664999999999999</v>
      </c>
      <c r="H4" s="147">
        <v>27.45</v>
      </c>
      <c r="I4" s="147">
        <v>32.273000000000003</v>
      </c>
      <c r="J4" s="147">
        <v>38.033999999999999</v>
      </c>
      <c r="K4" s="148">
        <f>'Proj. Custos da receita'!B25</f>
        <v>35.449916666666468</v>
      </c>
      <c r="L4" s="148">
        <f>'Proj. Custos da receita'!C25</f>
        <v>38.724633333333259</v>
      </c>
      <c r="M4" s="148">
        <f>'Proj. Custos da receita'!D25</f>
        <v>41.999350000000049</v>
      </c>
      <c r="N4" s="148">
        <f>'Proj. Custos da receita'!E25</f>
        <v>45.27406666666684</v>
      </c>
      <c r="O4" s="148">
        <f>'Proj. Custos da receita'!F25</f>
        <v>48.548783333333631</v>
      </c>
      <c r="P4" s="148">
        <f>'Proj. Custos da receita'!G25</f>
        <v>51.823499999999513</v>
      </c>
      <c r="Q4" s="148">
        <f>'Proj. Custos da receita'!H25</f>
        <v>55.098216666666303</v>
      </c>
      <c r="R4" s="148">
        <f>'Proj. Custos da receita'!I25</f>
        <v>58.372933333333094</v>
      </c>
      <c r="S4" s="148">
        <f>'Proj. Custos da receita'!J25</f>
        <v>61.647649999999885</v>
      </c>
      <c r="T4" s="148">
        <f>'Proj. Custos da receita'!K25</f>
        <v>64.922366666666676</v>
      </c>
    </row>
    <row r="5" spans="1:21" ht="15" customHeight="1" x14ac:dyDescent="0.25">
      <c r="A5" s="10" t="s">
        <v>729</v>
      </c>
      <c r="B5" s="149">
        <v>0</v>
      </c>
      <c r="C5" s="149">
        <v>0</v>
      </c>
      <c r="D5" s="149">
        <v>0</v>
      </c>
      <c r="E5" s="149">
        <v>0</v>
      </c>
      <c r="F5" s="149">
        <v>0</v>
      </c>
      <c r="G5" s="149">
        <v>0</v>
      </c>
      <c r="H5" s="147">
        <v>0.06</v>
      </c>
      <c r="I5" s="147">
        <v>4.4999999999999998E-2</v>
      </c>
      <c r="J5" s="147">
        <v>5.7000000000000002E-2</v>
      </c>
      <c r="K5" s="148">
        <f>'Proj. Custos da receita'!B26</f>
        <v>5.7954960780623906E-2</v>
      </c>
      <c r="L5" s="148">
        <f>'Proj. Custos da receita'!C26</f>
        <v>6.5945952936749097E-2</v>
      </c>
      <c r="M5" s="148">
        <f>'Proj. Custos da receita'!D26</f>
        <v>7.3936945092874268E-2</v>
      </c>
      <c r="N5" s="148">
        <f>'Proj. Custos da receita'!E26</f>
        <v>8.1927937248999466E-2</v>
      </c>
      <c r="O5" s="148">
        <f>'Proj. Custos da receita'!F26</f>
        <v>8.9918929405124637E-2</v>
      </c>
      <c r="P5" s="148">
        <f>'Proj. Custos da receita'!G26</f>
        <v>9.7909921561247587E-2</v>
      </c>
      <c r="Q5" s="148">
        <f>'Proj. Custos da receita'!H26</f>
        <v>0.10590091371737279</v>
      </c>
      <c r="R5" s="148">
        <f>'Proj. Custos da receita'!I26</f>
        <v>0.11389190587349796</v>
      </c>
      <c r="S5" s="148">
        <f>'Proj. Custos da receita'!J26</f>
        <v>0.12188289802962315</v>
      </c>
      <c r="T5" s="148">
        <f>'Proj. Custos da receita'!K26</f>
        <v>0.12987389018574833</v>
      </c>
    </row>
    <row r="6" spans="1:21" ht="15" customHeight="1" x14ac:dyDescent="0.25">
      <c r="A6" s="6" t="s">
        <v>74</v>
      </c>
      <c r="B6" s="145">
        <v>17.178000000000001</v>
      </c>
      <c r="C6" s="145">
        <v>13.221</v>
      </c>
      <c r="D6" s="145">
        <v>23.655999999999999</v>
      </c>
      <c r="E6" s="145">
        <v>25.614999999999998</v>
      </c>
      <c r="F6" s="145">
        <v>23.298999999999999</v>
      </c>
      <c r="G6" s="145">
        <v>106.654</v>
      </c>
      <c r="H6" s="145">
        <v>44.548000000000002</v>
      </c>
      <c r="I6" s="145">
        <v>34.988999999999997</v>
      </c>
      <c r="J6" s="145">
        <f>J3-SUM(J4:J5)</f>
        <v>47.907999999999994</v>
      </c>
      <c r="K6" s="146">
        <f>K3-SUM(K4:K5)</f>
        <v>45.939128372552908</v>
      </c>
      <c r="L6" s="146">
        <f t="shared" ref="L6:T6" si="0">L3-SUM(L4:L5)</f>
        <v>48.022906878003703</v>
      </c>
      <c r="M6" s="146">
        <f t="shared" si="0"/>
        <v>49.962303113067357</v>
      </c>
      <c r="N6" s="146">
        <f t="shared" si="0"/>
        <v>51.687894151780846</v>
      </c>
      <c r="O6" s="146">
        <f t="shared" si="0"/>
        <v>53.129362104280226</v>
      </c>
      <c r="P6" s="146">
        <f t="shared" si="0"/>
        <v>54.217048567774192</v>
      </c>
      <c r="Q6" s="146">
        <f t="shared" si="0"/>
        <v>54.883592584579524</v>
      </c>
      <c r="R6" s="146">
        <f t="shared" si="0"/>
        <v>55.065601235888337</v>
      </c>
      <c r="S6" s="146">
        <f t="shared" si="0"/>
        <v>54.705297337600939</v>
      </c>
      <c r="T6" s="146">
        <f t="shared" si="0"/>
        <v>53.752086283490641</v>
      </c>
    </row>
    <row r="7" spans="1:21" ht="15" customHeight="1" x14ac:dyDescent="0.25">
      <c r="A7" s="10" t="s">
        <v>162</v>
      </c>
      <c r="B7" s="149">
        <v>0</v>
      </c>
      <c r="C7" s="147">
        <v>0</v>
      </c>
      <c r="D7" s="147">
        <v>0</v>
      </c>
      <c r="E7" s="147">
        <v>0</v>
      </c>
      <c r="F7" s="147">
        <v>0</v>
      </c>
      <c r="G7" s="147">
        <v>5.0000000000000001E-3</v>
      </c>
      <c r="H7" s="147">
        <v>0</v>
      </c>
      <c r="I7" s="147">
        <v>0</v>
      </c>
      <c r="J7" s="147">
        <v>0.109</v>
      </c>
      <c r="K7" s="148">
        <f t="shared" ref="K7:T7" si="1">AVERAGE(B7:J7)</f>
        <v>1.2666666666666666E-2</v>
      </c>
      <c r="L7" s="148">
        <f t="shared" si="1"/>
        <v>1.4074074074074076E-2</v>
      </c>
      <c r="M7" s="148">
        <f t="shared" si="1"/>
        <v>1.5637860082304528E-2</v>
      </c>
      <c r="N7" s="148">
        <f t="shared" si="1"/>
        <v>1.7375400091449476E-2</v>
      </c>
      <c r="O7" s="148">
        <f t="shared" si="1"/>
        <v>1.9306000101610529E-2</v>
      </c>
      <c r="P7" s="148">
        <f t="shared" si="1"/>
        <v>2.1451111224011696E-2</v>
      </c>
      <c r="Q7" s="148">
        <f t="shared" si="1"/>
        <v>2.3279012471124107E-2</v>
      </c>
      <c r="R7" s="148">
        <f t="shared" si="1"/>
        <v>2.5865569412360116E-2</v>
      </c>
      <c r="S7" s="148">
        <f t="shared" si="1"/>
        <v>2.8739521569289019E-2</v>
      </c>
      <c r="T7" s="148">
        <f t="shared" si="1"/>
        <v>1.9821690632543357E-2</v>
      </c>
    </row>
    <row r="8" spans="1:21" ht="15" customHeight="1" x14ac:dyDescent="0.25">
      <c r="A8" s="157" t="s">
        <v>735</v>
      </c>
      <c r="B8" s="158">
        <v>0.77900000000000003</v>
      </c>
      <c r="C8" s="158">
        <v>0.55500000000000005</v>
      </c>
      <c r="D8" s="158">
        <v>0.753</v>
      </c>
      <c r="E8" s="158">
        <v>0.65400000000000003</v>
      </c>
      <c r="F8" s="158">
        <v>4.1280000000000001</v>
      </c>
      <c r="G8" s="158">
        <v>3.4289999999999998</v>
      </c>
      <c r="H8" s="158">
        <v>6.2249999999999996</v>
      </c>
      <c r="I8" s="158">
        <v>4.8659999999999997</v>
      </c>
      <c r="J8" s="159">
        <f t="shared" ref="J8:T8" si="2">SUM(J9:J12)</f>
        <v>4.9930000000000003</v>
      </c>
      <c r="K8" s="201">
        <f t="shared" si="2"/>
        <v>7.1582810930666101</v>
      </c>
      <c r="L8" s="201">
        <f t="shared" si="2"/>
        <v>7.9548854598281116</v>
      </c>
      <c r="M8" s="201">
        <f t="shared" si="2"/>
        <v>8.7520001146554858</v>
      </c>
      <c r="N8" s="201">
        <f t="shared" si="2"/>
        <v>9.5414595340002073</v>
      </c>
      <c r="O8" s="201">
        <f t="shared" si="2"/>
        <v>10.328302025031386</v>
      </c>
      <c r="P8" s="201">
        <f t="shared" si="2"/>
        <v>11.125125706825058</v>
      </c>
      <c r="Q8" s="201">
        <f t="shared" si="2"/>
        <v>11.922484045021458</v>
      </c>
      <c r="R8" s="201">
        <f t="shared" si="2"/>
        <v>12.718436445887351</v>
      </c>
      <c r="S8" s="201">
        <f t="shared" si="2"/>
        <v>13.496271138608744</v>
      </c>
      <c r="T8" s="201">
        <f t="shared" si="2"/>
        <v>14.245053727253085</v>
      </c>
    </row>
    <row r="9" spans="1:21" ht="15" customHeight="1" x14ac:dyDescent="0.25">
      <c r="A9" s="11" t="s">
        <v>730</v>
      </c>
      <c r="B9" s="149">
        <v>0</v>
      </c>
      <c r="C9" s="149">
        <v>0</v>
      </c>
      <c r="D9" s="149">
        <v>7.3999999999999996E-2</v>
      </c>
      <c r="E9" s="149">
        <v>9.5000000000000001E-2</v>
      </c>
      <c r="F9" s="149">
        <v>0</v>
      </c>
      <c r="G9" s="149">
        <v>0</v>
      </c>
      <c r="H9" s="149">
        <v>1.7999999999999999E-2</v>
      </c>
      <c r="I9" s="149">
        <v>0.185</v>
      </c>
      <c r="J9" s="149">
        <v>0</v>
      </c>
      <c r="K9" s="148">
        <f>'Proj. Despesas Operacionais'!B23</f>
        <v>4.1333333333333333E-2</v>
      </c>
      <c r="L9" s="148">
        <f>'Proj. Despesas Operacionais'!C23</f>
        <v>4.5925925925925926E-2</v>
      </c>
      <c r="M9" s="148">
        <f>'Proj. Despesas Operacionais'!D23</f>
        <v>5.1028806584362138E-2</v>
      </c>
      <c r="N9" s="148">
        <f>'Proj. Despesas Operacionais'!E23</f>
        <v>4.8476451760402377E-2</v>
      </c>
      <c r="O9" s="148">
        <f>'Proj. Despesas Operacionais'!F23</f>
        <v>4.3307168622669305E-2</v>
      </c>
      <c r="P9" s="148">
        <f>'Proj. Despesas Operacionais'!G23</f>
        <v>4.8119076247410339E-2</v>
      </c>
      <c r="Q9" s="148">
        <f>'Proj. Despesas Operacionais'!H23</f>
        <v>5.3465640274900382E-2</v>
      </c>
      <c r="R9" s="148">
        <f>'Proj. Despesas Operacionais'!I23</f>
        <v>5.7406266972111535E-2</v>
      </c>
      <c r="S9" s="148">
        <f>'Proj. Despesas Operacionais'!J23</f>
        <v>4.3229185524568371E-2</v>
      </c>
      <c r="T9" s="148">
        <f>'Proj. Despesas Operacionais'!K24</f>
        <v>12.62507777777796</v>
      </c>
    </row>
    <row r="10" spans="1:21" ht="15" customHeight="1" x14ac:dyDescent="0.25">
      <c r="A10" s="11" t="s">
        <v>731</v>
      </c>
      <c r="B10" s="149">
        <v>0</v>
      </c>
      <c r="C10" s="149">
        <v>0.55500000000000005</v>
      </c>
      <c r="D10" s="149">
        <v>0.67900000000000005</v>
      </c>
      <c r="E10" s="149">
        <v>0.55900000000000005</v>
      </c>
      <c r="F10" s="149">
        <v>4.202</v>
      </c>
      <c r="G10" s="149">
        <v>3.3650000000000002</v>
      </c>
      <c r="H10" s="149">
        <v>6.0940000000000003</v>
      </c>
      <c r="I10" s="149">
        <v>4.5279999999999996</v>
      </c>
      <c r="J10" s="149">
        <v>4.2530000000000001</v>
      </c>
      <c r="K10" s="148">
        <f>'Proj. Despesas Operacionais'!B24</f>
        <v>6.2400277777778683</v>
      </c>
      <c r="L10" s="148">
        <f>'Proj. Despesas Operacionais'!C24</f>
        <v>6.9494777777779291</v>
      </c>
      <c r="M10" s="148">
        <f>'Proj. Despesas Operacionais'!D24</f>
        <v>7.6589277777779898</v>
      </c>
      <c r="N10" s="148">
        <f>'Proj. Despesas Operacionais'!E24</f>
        <v>8.3683777777778232</v>
      </c>
      <c r="O10" s="148">
        <f>'Proj. Despesas Operacionais'!F24</f>
        <v>9.077827777777884</v>
      </c>
      <c r="P10" s="148">
        <f>'Proj. Despesas Operacionais'!G24</f>
        <v>9.7872777777779447</v>
      </c>
      <c r="Q10" s="148">
        <f>'Proj. Despesas Operacionais'!H24</f>
        <v>10.496727777778005</v>
      </c>
      <c r="R10" s="148">
        <f>'Proj. Despesas Operacionais'!I24</f>
        <v>11.206177777777839</v>
      </c>
      <c r="S10" s="148">
        <f>'Proj. Despesas Operacionais'!J24</f>
        <v>11.9156277777779</v>
      </c>
      <c r="T10" s="148">
        <f>'Proj. Despesas Operacionais'!K25</f>
        <v>1.3011000000000053</v>
      </c>
    </row>
    <row r="11" spans="1:21" ht="15" customHeight="1" x14ac:dyDescent="0.25">
      <c r="A11" s="10" t="s">
        <v>762</v>
      </c>
      <c r="B11" s="149">
        <v>0</v>
      </c>
      <c r="C11" s="147">
        <v>0.33400000000000002</v>
      </c>
      <c r="D11" s="147">
        <v>0.35499999999999998</v>
      </c>
      <c r="E11" s="147">
        <v>0.39300000000000002</v>
      </c>
      <c r="F11" s="147">
        <v>0.38</v>
      </c>
      <c r="G11" s="147">
        <v>0.44900000000000001</v>
      </c>
      <c r="H11" s="147">
        <v>0.53900000000000003</v>
      </c>
      <c r="I11" s="147">
        <v>0.65700000000000003</v>
      </c>
      <c r="J11" s="147">
        <v>0.60399999999999998</v>
      </c>
      <c r="K11" s="148">
        <f>'Proj. Despesas Operacionais'!B25</f>
        <v>0.72975000000000989</v>
      </c>
      <c r="L11" s="148">
        <f>'Proj. Despesas Operacionais'!C25</f>
        <v>0.79323333333333323</v>
      </c>
      <c r="M11" s="148">
        <f>'Proj. Despesas Operacionais'!D25</f>
        <v>0.856716666666685</v>
      </c>
      <c r="N11" s="148">
        <f>'Proj. Despesas Operacionais'!E25</f>
        <v>0.92020000000000834</v>
      </c>
      <c r="O11" s="148">
        <f>'Proj. Despesas Operacionais'!F25</f>
        <v>0.98368333333333169</v>
      </c>
      <c r="P11" s="148">
        <f>'Proj. Despesas Operacionais'!G25</f>
        <v>1.0471666666666835</v>
      </c>
      <c r="Q11" s="148">
        <f>'Proj. Despesas Operacionais'!H25</f>
        <v>1.1106500000000068</v>
      </c>
      <c r="R11" s="148">
        <f>'Proj. Despesas Operacionais'!I25</f>
        <v>1.1741333333333301</v>
      </c>
      <c r="S11" s="148">
        <f>'Proj. Despesas Operacionais'!J25</f>
        <v>1.2376166666666819</v>
      </c>
      <c r="T11" s="148">
        <f>'Proj. Despesas Operacionais'!K26</f>
        <v>0.3188759494751196</v>
      </c>
    </row>
    <row r="12" spans="1:21" ht="15" customHeight="1" x14ac:dyDescent="0.25">
      <c r="A12" s="10" t="s">
        <v>163</v>
      </c>
      <c r="B12" s="149">
        <v>0</v>
      </c>
      <c r="C12" s="149">
        <v>0</v>
      </c>
      <c r="D12" s="149">
        <v>0</v>
      </c>
      <c r="E12" s="149">
        <v>0</v>
      </c>
      <c r="F12" s="149">
        <v>0</v>
      </c>
      <c r="G12" s="147">
        <v>6.4000000000000001E-2</v>
      </c>
      <c r="H12" s="147">
        <v>0.113</v>
      </c>
      <c r="I12" s="147">
        <v>0.153</v>
      </c>
      <c r="J12" s="147">
        <v>0.13600000000000001</v>
      </c>
      <c r="K12" s="148">
        <f>'Proj. Despesas Operacionais'!B26</f>
        <v>0.14716998195539868</v>
      </c>
      <c r="L12" s="148">
        <f>'Proj. Despesas Operacionais'!C26</f>
        <v>0.16624842279092383</v>
      </c>
      <c r="M12" s="148">
        <f>'Proj. Despesas Operacionais'!D26</f>
        <v>0.18532686362644896</v>
      </c>
      <c r="N12" s="148">
        <f>'Proj. Despesas Operacionais'!E26</f>
        <v>0.20440530446197411</v>
      </c>
      <c r="O12" s="148">
        <f>'Proj. Despesas Operacionais'!F26</f>
        <v>0.22348374529749923</v>
      </c>
      <c r="P12" s="148">
        <f>'Proj. Despesas Operacionais'!G26</f>
        <v>0.24256218613301908</v>
      </c>
      <c r="Q12" s="148">
        <f>'Proj. Despesas Operacionais'!H26</f>
        <v>0.26164062696854418</v>
      </c>
      <c r="R12" s="148">
        <f>'Proj. Despesas Operacionais'!I26</f>
        <v>0.28071906780406936</v>
      </c>
      <c r="S12" s="148">
        <f>'Proj. Despesas Operacionais'!J26</f>
        <v>0.29979750863959448</v>
      </c>
      <c r="T12" s="148">
        <f>'Proj. Despesas Operacionais'!K27</f>
        <v>0</v>
      </c>
    </row>
    <row r="13" spans="1:21" ht="15" customHeight="1" x14ac:dyDescent="0.25">
      <c r="A13" s="6" t="s">
        <v>738</v>
      </c>
      <c r="B13" s="145">
        <v>16.399000000000001</v>
      </c>
      <c r="C13" s="145">
        <v>12.666</v>
      </c>
      <c r="D13" s="145">
        <v>22.902999999999999</v>
      </c>
      <c r="E13" s="145">
        <v>24.960999999999999</v>
      </c>
      <c r="F13" s="145">
        <v>19.170999999999999</v>
      </c>
      <c r="G13" s="145">
        <v>103.23</v>
      </c>
      <c r="H13" s="145">
        <v>38.323</v>
      </c>
      <c r="I13" s="145">
        <v>30.123000000000001</v>
      </c>
      <c r="J13" s="145">
        <v>43.628</v>
      </c>
      <c r="K13" s="146">
        <f t="shared" ref="K13:T13" si="3">K6+K7-K8</f>
        <v>38.793513946152963</v>
      </c>
      <c r="L13" s="146">
        <f t="shared" si="3"/>
        <v>40.082095492249664</v>
      </c>
      <c r="M13" s="146">
        <f t="shared" si="3"/>
        <v>41.225940858494177</v>
      </c>
      <c r="N13" s="146">
        <f t="shared" si="3"/>
        <v>42.163810017872095</v>
      </c>
      <c r="O13" s="146">
        <f t="shared" si="3"/>
        <v>42.82036607935045</v>
      </c>
      <c r="P13" s="146">
        <f t="shared" si="3"/>
        <v>43.113373972173143</v>
      </c>
      <c r="Q13" s="146">
        <f t="shared" si="3"/>
        <v>42.98438755202919</v>
      </c>
      <c r="R13" s="146">
        <f t="shared" si="3"/>
        <v>42.373030359413349</v>
      </c>
      <c r="S13" s="146">
        <f t="shared" si="3"/>
        <v>41.237765720561484</v>
      </c>
      <c r="T13" s="146">
        <f t="shared" si="3"/>
        <v>39.526854246870094</v>
      </c>
      <c r="U13" s="141"/>
    </row>
    <row r="14" spans="1:21" ht="15" customHeight="1" x14ac:dyDescent="0.25">
      <c r="A14" s="142" t="s">
        <v>736</v>
      </c>
      <c r="B14" s="145">
        <f t="shared" ref="B14:K14" si="4">B17+(SUM(B16,B18))</f>
        <v>-5.26</v>
      </c>
      <c r="C14" s="145">
        <f t="shared" si="4"/>
        <v>-2.278</v>
      </c>
      <c r="D14" s="145">
        <f t="shared" si="4"/>
        <v>-1.4020000000000001</v>
      </c>
      <c r="E14" s="145">
        <f t="shared" si="4"/>
        <v>-2.3930000000000002</v>
      </c>
      <c r="F14" s="145">
        <f t="shared" si="4"/>
        <v>-1.264</v>
      </c>
      <c r="G14" s="145">
        <f t="shared" si="4"/>
        <v>-0.93399999999999994</v>
      </c>
      <c r="H14" s="145">
        <f t="shared" si="4"/>
        <v>-2.8239999999999998</v>
      </c>
      <c r="I14" s="145">
        <f t="shared" si="4"/>
        <v>-1.71</v>
      </c>
      <c r="J14" s="145">
        <f t="shared" si="4"/>
        <v>-1.7689999999999999</v>
      </c>
      <c r="K14" s="146">
        <f t="shared" si="4"/>
        <v>-23.97742532109848</v>
      </c>
      <c r="L14" s="146">
        <f t="shared" ref="L14:T14" si="5">L17+(SUM(L16,L18))</f>
        <v>-20.776399410789637</v>
      </c>
      <c r="M14" s="146">
        <f t="shared" si="5"/>
        <v>-17.20520946623585</v>
      </c>
      <c r="N14" s="146">
        <f t="shared" si="5"/>
        <v>-14.28860714325282</v>
      </c>
      <c r="O14" s="146">
        <f t="shared" si="5"/>
        <v>-11.906615135794844</v>
      </c>
      <c r="P14" s="146">
        <f t="shared" si="5"/>
        <v>-9.9612487959129261</v>
      </c>
      <c r="Q14" s="146">
        <f t="shared" si="5"/>
        <v>-8.3724832482933405</v>
      </c>
      <c r="R14" s="146">
        <f t="shared" si="5"/>
        <v>-7.0749626552695517</v>
      </c>
      <c r="S14" s="146">
        <f t="shared" si="5"/>
        <v>-6.0153102484474346</v>
      </c>
      <c r="T14" s="146">
        <f t="shared" si="5"/>
        <v>-5.1499340822791453</v>
      </c>
      <c r="U14" s="141"/>
    </row>
    <row r="15" spans="1:21" ht="15" customHeight="1" x14ac:dyDescent="0.25">
      <c r="A15" s="263" t="s">
        <v>733</v>
      </c>
      <c r="B15" s="264">
        <v>-5.26</v>
      </c>
      <c r="C15" s="264">
        <v>-2.4289999999999998</v>
      </c>
      <c r="D15" s="264">
        <v>-1.4910000000000001</v>
      </c>
      <c r="E15" s="264">
        <v>-2.3490000000000002</v>
      </c>
      <c r="F15" s="264">
        <v>-1.403</v>
      </c>
      <c r="G15" s="264">
        <v>-0.93799999999999994</v>
      </c>
      <c r="H15" s="264">
        <v>-2.9079999999999999</v>
      </c>
      <c r="I15" s="264">
        <v>-1.4339999999999999</v>
      </c>
      <c r="J15" s="264">
        <v>-1.64</v>
      </c>
      <c r="K15" s="148">
        <f>'Proj. Despesa não operacional'!B57</f>
        <v>-23.979667691944812</v>
      </c>
      <c r="L15" s="148">
        <f>'Proj. Despesa não operacional'!C57</f>
        <v>-20.778716265161641</v>
      </c>
      <c r="M15" s="148">
        <f>'Proj. Despesa não operacional'!D57</f>
        <v>-17.207592437987827</v>
      </c>
      <c r="N15" s="148">
        <f>'Proj. Despesa não operacional'!E57</f>
        <v>-14.291044326398577</v>
      </c>
      <c r="O15" s="148">
        <f>'Proj. Despesa não operacional'!F57</f>
        <v>-11.909090269670543</v>
      </c>
      <c r="P15" s="148">
        <f>'Proj. Despesa não operacional'!G57</f>
        <v>-9.9637408664434872</v>
      </c>
      <c r="Q15" s="148">
        <f>'Proj. Despesa não operacional'!H57</f>
        <v>-8.3749678630572362</v>
      </c>
      <c r="R15" s="148">
        <f>'Proj. Despesa não operacional'!I57</f>
        <v>-7.0774119319213264</v>
      </c>
      <c r="S15" s="148">
        <f>'Proj. Despesa não operacional'!J57</f>
        <v>-6.0176939037086719</v>
      </c>
      <c r="T15" s="148">
        <f>'Proj. Despesa não operacional'!K57</f>
        <v>-5.1522188421937374</v>
      </c>
      <c r="U15" s="156"/>
    </row>
    <row r="16" spans="1:21" ht="15" customHeight="1" x14ac:dyDescent="0.25">
      <c r="A16" s="132" t="s">
        <v>399</v>
      </c>
      <c r="B16" s="151">
        <v>0.192</v>
      </c>
      <c r="C16" s="151">
        <v>0.157</v>
      </c>
      <c r="D16" s="151">
        <v>0.121</v>
      </c>
      <c r="E16" s="151">
        <v>8.5999999999999993E-2</v>
      </c>
      <c r="F16" s="151">
        <v>5.2999999999999999E-2</v>
      </c>
      <c r="G16" s="151">
        <v>3.6999999999999998E-2</v>
      </c>
      <c r="H16" s="151">
        <v>2.5000000000000001E-2</v>
      </c>
      <c r="I16" s="151">
        <v>1.4E-2</v>
      </c>
      <c r="J16" s="151">
        <v>0.105</v>
      </c>
      <c r="K16" s="148">
        <f>'Proj. Despesa não operacional'!B58</f>
        <v>1.3984488939323909</v>
      </c>
      <c r="L16" s="148">
        <f>'Proj. Despesa não operacional'!C58</f>
        <v>1.2057688263910882</v>
      </c>
      <c r="M16" s="148">
        <f>'Proj. Despesa não operacional'!D58</f>
        <v>0.99080637039727615</v>
      </c>
      <c r="N16" s="148">
        <f>'Proj. Despesa não operacional'!E58</f>
        <v>0.81524585347521072</v>
      </c>
      <c r="O16" s="148">
        <f>'Proj. Despesa não operacional'!F58</f>
        <v>0.67186502467211007</v>
      </c>
      <c r="P16" s="148">
        <f>'Proj. Despesa não operacional'!G58</f>
        <v>0.5547654488182171</v>
      </c>
      <c r="Q16" s="148">
        <f>'Proj. Despesa não operacional'!H58</f>
        <v>0.45912985527598554</v>
      </c>
      <c r="R16" s="148">
        <f>'Proj. Despesa não operacional'!I58</f>
        <v>0.38102396389695309</v>
      </c>
      <c r="S16" s="148">
        <f>'Proj. Despesa não operacional'!J58</f>
        <v>0.31723463565464666</v>
      </c>
      <c r="T16" s="148">
        <f>'Proj. Despesa não operacional'!K58</f>
        <v>0.26513768975515895</v>
      </c>
      <c r="U16" s="141"/>
    </row>
    <row r="17" spans="1:21" ht="15" customHeight="1" x14ac:dyDescent="0.25">
      <c r="A17" s="155" t="s">
        <v>164</v>
      </c>
      <c r="B17" s="154">
        <f>B15-B16</f>
        <v>-5.452</v>
      </c>
      <c r="C17" s="154">
        <f t="shared" ref="C17:G17" si="6">C15-C16</f>
        <v>-2.5859999999999999</v>
      </c>
      <c r="D17" s="154">
        <f t="shared" si="6"/>
        <v>-1.6120000000000001</v>
      </c>
      <c r="E17" s="154">
        <f t="shared" si="6"/>
        <v>-2.4350000000000001</v>
      </c>
      <c r="F17" s="154">
        <f t="shared" si="6"/>
        <v>-1.456</v>
      </c>
      <c r="G17" s="154">
        <f t="shared" si="6"/>
        <v>-0.97499999999999998</v>
      </c>
      <c r="H17" s="154">
        <f>H15-H16</f>
        <v>-2.9329999999999998</v>
      </c>
      <c r="I17" s="154">
        <f>I15-I16</f>
        <v>-1.448</v>
      </c>
      <c r="J17" s="154">
        <f>J15-J16</f>
        <v>-1.7449999999999999</v>
      </c>
      <c r="K17" s="152">
        <f>K15-K16</f>
        <v>-25.378116585877201</v>
      </c>
      <c r="L17" s="152">
        <f t="shared" ref="L17:T17" si="7">L15-L16</f>
        <v>-21.984485091552731</v>
      </c>
      <c r="M17" s="152">
        <f t="shared" si="7"/>
        <v>-18.198398808385104</v>
      </c>
      <c r="N17" s="152">
        <f t="shared" si="7"/>
        <v>-15.106290179873788</v>
      </c>
      <c r="O17" s="152">
        <f t="shared" si="7"/>
        <v>-12.580955294342653</v>
      </c>
      <c r="P17" s="152">
        <f t="shared" si="7"/>
        <v>-10.518506315261705</v>
      </c>
      <c r="Q17" s="152">
        <f t="shared" si="7"/>
        <v>-8.8340977183332221</v>
      </c>
      <c r="R17" s="152">
        <f t="shared" si="7"/>
        <v>-7.4584358958182797</v>
      </c>
      <c r="S17" s="152">
        <f t="shared" si="7"/>
        <v>-6.3349285393633181</v>
      </c>
      <c r="T17" s="152">
        <f t="shared" si="7"/>
        <v>-5.4173565319488963</v>
      </c>
      <c r="U17" s="141"/>
    </row>
    <row r="18" spans="1:21" s="36" customFormat="1" ht="15" customHeight="1" x14ac:dyDescent="0.25">
      <c r="A18" s="131" t="s">
        <v>734</v>
      </c>
      <c r="B18" s="149">
        <v>0</v>
      </c>
      <c r="C18" s="150">
        <v>0.151</v>
      </c>
      <c r="D18" s="150">
        <v>8.8999999999999996E-2</v>
      </c>
      <c r="E18" s="150">
        <v>-4.3999999999999997E-2</v>
      </c>
      <c r="F18" s="150">
        <v>0.13900000000000001</v>
      </c>
      <c r="G18" s="150">
        <v>4.0000000000000001E-3</v>
      </c>
      <c r="H18" s="150">
        <v>8.4000000000000005E-2</v>
      </c>
      <c r="I18" s="150">
        <v>-0.27600000000000002</v>
      </c>
      <c r="J18" s="150">
        <v>-0.129</v>
      </c>
      <c r="K18" s="148">
        <f>K13*'Proj. Despesa não operacional'!B59</f>
        <v>2.2423708463306636E-3</v>
      </c>
      <c r="L18" s="148">
        <f>L13*'Proj. Despesa não operacional'!C59</f>
        <v>2.3168543720070859E-3</v>
      </c>
      <c r="M18" s="148">
        <f>M13*'Proj. Despesa não operacional'!D59</f>
        <v>2.3829717519778032E-3</v>
      </c>
      <c r="N18" s="148">
        <f>N13*'Proj. Despesa não operacional'!E59</f>
        <v>2.4371831457582383E-3</v>
      </c>
      <c r="O18" s="148">
        <f>O13*'Proj. Despesa não operacional'!F59</f>
        <v>2.4751338756994409E-3</v>
      </c>
      <c r="P18" s="148">
        <f>P13*'Proj. Despesa não operacional'!G59</f>
        <v>2.4920705305619623E-3</v>
      </c>
      <c r="Q18" s="148">
        <f>Q13*'Proj. Despesa não operacional'!H59</f>
        <v>2.4846147638968225E-3</v>
      </c>
      <c r="R18" s="148">
        <f>R13*'Proj. Despesa não operacional'!I59</f>
        <v>2.4492766517753175E-3</v>
      </c>
      <c r="S18" s="148">
        <f>S13*'Proj. Despesa não operacional'!J59</f>
        <v>2.3836552612365525E-3</v>
      </c>
      <c r="T18" s="148">
        <f>T13*'Proj. Despesa não operacional'!K59</f>
        <v>2.2847599145921771E-3</v>
      </c>
    </row>
    <row r="19" spans="1:21" ht="15" customHeight="1" x14ac:dyDescent="0.25">
      <c r="A19" s="143" t="s">
        <v>739</v>
      </c>
      <c r="B19" s="153">
        <v>21.236999999999998</v>
      </c>
      <c r="C19" s="153">
        <v>14.944000000000001</v>
      </c>
      <c r="D19" s="153">
        <v>24.305</v>
      </c>
      <c r="E19" s="153">
        <v>27.353999999999999</v>
      </c>
      <c r="F19" s="153">
        <v>20.434999999999999</v>
      </c>
      <c r="G19" s="153">
        <v>104.164</v>
      </c>
      <c r="H19" s="153">
        <v>41.146999999999998</v>
      </c>
      <c r="I19" s="153">
        <v>31.832999999999998</v>
      </c>
      <c r="J19" s="154">
        <f t="shared" ref="J19:T19" si="8">J13-J14-J18</f>
        <v>45.525999999999996</v>
      </c>
      <c r="K19" s="152">
        <f t="shared" si="8"/>
        <v>62.76869689640511</v>
      </c>
      <c r="L19" s="152">
        <f t="shared" si="8"/>
        <v>60.856178048667296</v>
      </c>
      <c r="M19" s="152">
        <f t="shared" si="8"/>
        <v>58.428767352978049</v>
      </c>
      <c r="N19" s="152">
        <f t="shared" si="8"/>
        <v>56.449979977979154</v>
      </c>
      <c r="O19" s="152">
        <f t="shared" si="8"/>
        <v>54.724506081269595</v>
      </c>
      <c r="P19" s="152">
        <f t="shared" si="8"/>
        <v>53.072130697555508</v>
      </c>
      <c r="Q19" s="152">
        <f t="shared" si="8"/>
        <v>51.354386185558639</v>
      </c>
      <c r="R19" s="152">
        <f t="shared" si="8"/>
        <v>49.445543738031127</v>
      </c>
      <c r="S19" s="152">
        <f t="shared" si="8"/>
        <v>47.250692313747685</v>
      </c>
      <c r="T19" s="152">
        <f t="shared" si="8"/>
        <v>44.674503569234645</v>
      </c>
    </row>
    <row r="20" spans="1:21" ht="15" customHeight="1" x14ac:dyDescent="0.25">
      <c r="A20" s="131" t="s">
        <v>737</v>
      </c>
      <c r="B20" s="150">
        <v>6.9489999999999998</v>
      </c>
      <c r="C20" s="150">
        <v>2.427</v>
      </c>
      <c r="D20" s="150">
        <v>1.6890000000000001</v>
      </c>
      <c r="E20" s="150">
        <v>2.097</v>
      </c>
      <c r="F20" s="150">
        <v>1.726</v>
      </c>
      <c r="G20" s="150">
        <v>4.3559999999999999</v>
      </c>
      <c r="H20" s="150">
        <v>3.657</v>
      </c>
      <c r="I20" s="150">
        <v>3.121</v>
      </c>
      <c r="J20" s="150">
        <v>10.662000000000001</v>
      </c>
      <c r="K20" s="148">
        <f>'Proj. Imposto de Renda'!B28</f>
        <v>9.6824168473546965</v>
      </c>
      <c r="L20" s="148">
        <f>'Proj. Imposto de Renda'!C28</f>
        <v>8.4566592048382407</v>
      </c>
      <c r="M20" s="148">
        <f>'Proj. Imposto de Renda'!D28</f>
        <v>7.4555790657670897</v>
      </c>
      <c r="N20" s="148">
        <f>'Proj. Imposto de Renda'!E28</f>
        <v>6.6379937535635323</v>
      </c>
      <c r="O20" s="148">
        <f>'Proj. Imposto de Renda'!F28</f>
        <v>5.9702692461617524</v>
      </c>
      <c r="P20" s="148">
        <f>'Proj. Imposto de Renda'!G28</f>
        <v>5.4249365314836027</v>
      </c>
      <c r="Q20" s="148">
        <f>'Proj. Imposto de Renda'!H28</f>
        <v>4.9795615805844315</v>
      </c>
      <c r="R20" s="148">
        <f>'Proj. Imposto de Renda'!I28</f>
        <v>4.6158224511512955</v>
      </c>
      <c r="S20" s="148">
        <f>'Proj. Imposto de Renda'!J28</f>
        <v>4.3187555550143175</v>
      </c>
      <c r="T20" s="148">
        <f>'Proj. Imposto de Renda'!K28</f>
        <v>4.0761400824420155</v>
      </c>
    </row>
    <row r="21" spans="1:21" ht="15" customHeight="1" x14ac:dyDescent="0.25">
      <c r="A21" s="143" t="s">
        <v>127</v>
      </c>
      <c r="B21" s="153">
        <f>B19-B20</f>
        <v>14.287999999999998</v>
      </c>
      <c r="C21" s="153">
        <f t="shared" ref="C21:J21" si="9">C19-C20</f>
        <v>12.517000000000001</v>
      </c>
      <c r="D21" s="153">
        <f t="shared" si="9"/>
        <v>22.616</v>
      </c>
      <c r="E21" s="153">
        <f t="shared" si="9"/>
        <v>25.256999999999998</v>
      </c>
      <c r="F21" s="153">
        <f t="shared" si="9"/>
        <v>18.709</v>
      </c>
      <c r="G21" s="153">
        <f t="shared" si="9"/>
        <v>99.808000000000007</v>
      </c>
      <c r="H21" s="153">
        <f t="shared" si="9"/>
        <v>37.489999999999995</v>
      </c>
      <c r="I21" s="153">
        <f t="shared" si="9"/>
        <v>28.712</v>
      </c>
      <c r="J21" s="153">
        <f t="shared" si="9"/>
        <v>34.863999999999997</v>
      </c>
      <c r="K21" s="152">
        <f>K19-K20</f>
        <v>53.086280049050416</v>
      </c>
      <c r="L21" s="152">
        <f t="shared" ref="L21:T21" si="10">L19-L20</f>
        <v>52.399518843829057</v>
      </c>
      <c r="M21" s="152">
        <f t="shared" si="10"/>
        <v>50.973188287210959</v>
      </c>
      <c r="N21" s="152">
        <f t="shared" si="10"/>
        <v>49.81198622441562</v>
      </c>
      <c r="O21" s="152">
        <f t="shared" si="10"/>
        <v>48.754236835107847</v>
      </c>
      <c r="P21" s="152">
        <f t="shared" si="10"/>
        <v>47.647194166071905</v>
      </c>
      <c r="Q21" s="152">
        <f t="shared" si="10"/>
        <v>46.374824604974208</v>
      </c>
      <c r="R21" s="152">
        <f t="shared" si="10"/>
        <v>44.829721286879831</v>
      </c>
      <c r="S21" s="152">
        <f t="shared" si="10"/>
        <v>42.931936758733364</v>
      </c>
      <c r="T21" s="152">
        <f t="shared" si="10"/>
        <v>40.598363486792628</v>
      </c>
    </row>
    <row r="22" spans="1:21" ht="15" customHeight="1" x14ac:dyDescent="0.25">
      <c r="K22" s="197"/>
    </row>
    <row r="23" spans="1:21" ht="15" customHeight="1" x14ac:dyDescent="0.25">
      <c r="A23" s="89" t="s">
        <v>813</v>
      </c>
      <c r="B23" s="224">
        <f>B13+B12+B5</f>
        <v>16.399000000000001</v>
      </c>
      <c r="C23" s="224">
        <f t="shared" ref="C23:J23" si="11">C13+C12+C5</f>
        <v>12.666</v>
      </c>
      <c r="D23" s="224">
        <f t="shared" si="11"/>
        <v>22.902999999999999</v>
      </c>
      <c r="E23" s="224">
        <f t="shared" si="11"/>
        <v>24.960999999999999</v>
      </c>
      <c r="F23" s="224">
        <f t="shared" si="11"/>
        <v>19.170999999999999</v>
      </c>
      <c r="G23" s="224">
        <f t="shared" si="11"/>
        <v>103.294</v>
      </c>
      <c r="H23" s="224">
        <f t="shared" si="11"/>
        <v>38.496000000000002</v>
      </c>
      <c r="I23" s="224">
        <f t="shared" si="11"/>
        <v>30.321000000000002</v>
      </c>
      <c r="J23" s="224">
        <f t="shared" si="11"/>
        <v>43.821000000000005</v>
      </c>
      <c r="K23" s="224">
        <f>K13+K12+K5</f>
        <v>38.998638888888991</v>
      </c>
      <c r="L23" s="224">
        <f t="shared" ref="L23:T23" si="12">L13+L12+L5</f>
        <v>40.314289867977337</v>
      </c>
      <c r="M23" s="224">
        <f t="shared" si="12"/>
        <v>41.485204667213502</v>
      </c>
      <c r="N23" s="224">
        <f t="shared" si="12"/>
        <v>42.450143259583065</v>
      </c>
      <c r="O23" s="224">
        <f t="shared" si="12"/>
        <v>43.133768754053072</v>
      </c>
      <c r="P23" s="224">
        <f t="shared" si="12"/>
        <v>43.453846079867411</v>
      </c>
      <c r="Q23" s="224">
        <f t="shared" si="12"/>
        <v>43.351929092715103</v>
      </c>
      <c r="R23" s="224">
        <f t="shared" si="12"/>
        <v>42.767641333090921</v>
      </c>
      <c r="S23" s="224">
        <f t="shared" si="12"/>
        <v>41.659446127230702</v>
      </c>
      <c r="T23" s="224">
        <f t="shared" si="12"/>
        <v>39.656728137055843</v>
      </c>
    </row>
    <row r="24" spans="1:21" ht="15" customHeight="1" x14ac:dyDescent="0.25">
      <c r="A24" s="223" t="s">
        <v>814</v>
      </c>
      <c r="B24" s="136">
        <f>B23/B3</f>
        <v>0.52304404682167571</v>
      </c>
      <c r="C24" s="136">
        <f>C23/C3</f>
        <v>0.53565085003806145</v>
      </c>
      <c r="D24" s="136">
        <f t="shared" ref="D24:J24" si="13">D23/D3</f>
        <v>0.67993706210663818</v>
      </c>
      <c r="E24" s="136">
        <f t="shared" si="13"/>
        <v>0.64630641360917629</v>
      </c>
      <c r="F24" s="136">
        <f t="shared" si="13"/>
        <v>0.53356526579460062</v>
      </c>
      <c r="G24" s="136">
        <f t="shared" si="13"/>
        <v>0.85850115110664149</v>
      </c>
      <c r="H24" s="136">
        <f t="shared" si="13"/>
        <v>0.53423630963945712</v>
      </c>
      <c r="I24" s="136">
        <f t="shared" si="13"/>
        <v>0.45048806216292508</v>
      </c>
      <c r="J24" s="136">
        <f t="shared" si="13"/>
        <v>0.50955243665624028</v>
      </c>
      <c r="K24" s="136">
        <f t="shared" ref="K24" si="14">K23/K3</f>
        <v>0.47882228797732257</v>
      </c>
      <c r="L24" s="136">
        <f t="shared" ref="L24" si="15">L23/L3</f>
        <v>0.464378193402949</v>
      </c>
      <c r="M24" s="136">
        <f t="shared" ref="M24" si="16">M23/M3</f>
        <v>0.45075176506172943</v>
      </c>
      <c r="N24" s="136">
        <f t="shared" ref="N24" si="17">N23/N3</f>
        <v>0.43743242159688445</v>
      </c>
      <c r="O24" s="136">
        <f t="shared" ref="O24" si="18">O23/O3</f>
        <v>0.42384385536207442</v>
      </c>
      <c r="P24" s="136">
        <f t="shared" ref="P24" si="19">P23/P3</f>
        <v>0.40940717152241057</v>
      </c>
      <c r="Q24" s="136">
        <f t="shared" ref="Q24" si="20">Q23/Q3</f>
        <v>0.39379444833354704</v>
      </c>
      <c r="R24" s="136">
        <f t="shared" ref="R24" si="21">R23/R3</f>
        <v>0.37663344290111672</v>
      </c>
      <c r="S24" s="136">
        <f t="shared" ref="S24" si="22">S23/S3</f>
        <v>0.35766908647089651</v>
      </c>
      <c r="T24" s="136">
        <f t="shared" ref="T24" si="23">T23/T3</f>
        <v>0.33379868555081432</v>
      </c>
    </row>
    <row r="25" spans="1:21" ht="15" customHeight="1" x14ac:dyDescent="0.25">
      <c r="A25" s="225" t="s">
        <v>815</v>
      </c>
      <c r="B25" s="224">
        <f>B13</f>
        <v>16.399000000000001</v>
      </c>
      <c r="C25" s="224">
        <f t="shared" ref="C25:T25" si="24">C13</f>
        <v>12.666</v>
      </c>
      <c r="D25" s="224">
        <f t="shared" si="24"/>
        <v>22.902999999999999</v>
      </c>
      <c r="E25" s="224">
        <f t="shared" si="24"/>
        <v>24.960999999999999</v>
      </c>
      <c r="F25" s="224">
        <f t="shared" si="24"/>
        <v>19.170999999999999</v>
      </c>
      <c r="G25" s="224">
        <f t="shared" si="24"/>
        <v>103.23</v>
      </c>
      <c r="H25" s="224">
        <f t="shared" si="24"/>
        <v>38.323</v>
      </c>
      <c r="I25" s="224">
        <f t="shared" si="24"/>
        <v>30.123000000000001</v>
      </c>
      <c r="J25" s="224">
        <f t="shared" si="24"/>
        <v>43.628</v>
      </c>
      <c r="K25" s="224">
        <f t="shared" si="24"/>
        <v>38.793513946152963</v>
      </c>
      <c r="L25" s="224">
        <f t="shared" si="24"/>
        <v>40.082095492249664</v>
      </c>
      <c r="M25" s="224">
        <f t="shared" si="24"/>
        <v>41.225940858494177</v>
      </c>
      <c r="N25" s="224">
        <f t="shared" si="24"/>
        <v>42.163810017872095</v>
      </c>
      <c r="O25" s="224">
        <f t="shared" si="24"/>
        <v>42.82036607935045</v>
      </c>
      <c r="P25" s="224">
        <f t="shared" si="24"/>
        <v>43.113373972173143</v>
      </c>
      <c r="Q25" s="224">
        <f t="shared" si="24"/>
        <v>42.98438755202919</v>
      </c>
      <c r="R25" s="224">
        <f t="shared" si="24"/>
        <v>42.373030359413349</v>
      </c>
      <c r="S25" s="224">
        <f t="shared" si="24"/>
        <v>41.237765720561484</v>
      </c>
      <c r="T25" s="224">
        <f t="shared" si="24"/>
        <v>39.526854246870094</v>
      </c>
    </row>
    <row r="26" spans="1:21" ht="15" customHeight="1" x14ac:dyDescent="0.25">
      <c r="A26" s="223" t="s">
        <v>818</v>
      </c>
      <c r="B26" s="136">
        <f>B25/B3</f>
        <v>0.52304404682167571</v>
      </c>
      <c r="C26" s="136">
        <f t="shared" ref="C26:T26" si="25">C25/C3</f>
        <v>0.53565085003806145</v>
      </c>
      <c r="D26" s="136">
        <f t="shared" si="25"/>
        <v>0.67993706210663818</v>
      </c>
      <c r="E26" s="136">
        <f t="shared" si="25"/>
        <v>0.64630641360917629</v>
      </c>
      <c r="F26" s="136">
        <f t="shared" si="25"/>
        <v>0.53356526579460062</v>
      </c>
      <c r="G26" s="136">
        <f t="shared" si="25"/>
        <v>0.85796923179215256</v>
      </c>
      <c r="H26" s="136">
        <f t="shared" si="25"/>
        <v>0.53183546587471198</v>
      </c>
      <c r="I26" s="136">
        <f t="shared" si="25"/>
        <v>0.44754631761926694</v>
      </c>
      <c r="J26" s="136">
        <f t="shared" si="25"/>
        <v>0.50730822451423851</v>
      </c>
      <c r="K26" s="136">
        <f t="shared" si="25"/>
        <v>0.47630377971138238</v>
      </c>
      <c r="L26" s="136">
        <f t="shared" si="25"/>
        <v>0.46170355855084433</v>
      </c>
      <c r="M26" s="136">
        <f t="shared" si="25"/>
        <v>0.44793476993456732</v>
      </c>
      <c r="N26" s="136">
        <f t="shared" si="25"/>
        <v>0.43448186751890638</v>
      </c>
      <c r="O26" s="136">
        <f t="shared" si="25"/>
        <v>0.42076427753329348</v>
      </c>
      <c r="P26" s="136">
        <f t="shared" si="25"/>
        <v>0.4061993605880877</v>
      </c>
      <c r="Q26" s="136">
        <f t="shared" si="25"/>
        <v>0.39045582370292148</v>
      </c>
      <c r="R26" s="136">
        <f t="shared" si="25"/>
        <v>0.3731582994283868</v>
      </c>
      <c r="S26" s="136">
        <f t="shared" si="25"/>
        <v>0.35404872998858916</v>
      </c>
      <c r="T26" s="136">
        <f t="shared" si="25"/>
        <v>0.33270551080171379</v>
      </c>
    </row>
    <row r="27" spans="1:21" ht="15" customHeight="1" x14ac:dyDescent="0.25">
      <c r="A27" s="6" t="s">
        <v>150</v>
      </c>
      <c r="B27" s="136">
        <f>B6/B3</f>
        <v>0.54789015405224384</v>
      </c>
      <c r="C27" s="136">
        <f t="shared" ref="C27:T27" si="26">C6/C3</f>
        <v>0.55912205024105555</v>
      </c>
      <c r="D27" s="136">
        <f t="shared" si="26"/>
        <v>0.7022918893243083</v>
      </c>
      <c r="E27" s="136">
        <f t="shared" si="26"/>
        <v>0.66324020610548662</v>
      </c>
      <c r="F27" s="136">
        <f t="shared" si="26"/>
        <v>0.64845532980795995</v>
      </c>
      <c r="G27" s="136">
        <f t="shared" si="26"/>
        <v>0.88642691511731309</v>
      </c>
      <c r="H27" s="136">
        <f t="shared" si="26"/>
        <v>0.61822420827666602</v>
      </c>
      <c r="I27" s="136">
        <f t="shared" si="26"/>
        <v>0.5198419183740175</v>
      </c>
      <c r="J27" s="136">
        <f t="shared" si="26"/>
        <v>0.5570762450726171</v>
      </c>
      <c r="K27" s="136">
        <f t="shared" si="26"/>
        <v>0.56403708390183682</v>
      </c>
      <c r="L27" s="136">
        <f t="shared" si="26"/>
        <v>0.55317334897865822</v>
      </c>
      <c r="M27" s="136">
        <f t="shared" si="26"/>
        <v>0.54285850812163594</v>
      </c>
      <c r="N27" s="136">
        <f t="shared" si="26"/>
        <v>0.53262389640941354</v>
      </c>
      <c r="O27" s="136">
        <f t="shared" si="26"/>
        <v>0.52206320749771873</v>
      </c>
      <c r="P27" s="136">
        <f t="shared" si="26"/>
        <v>0.51081435833385547</v>
      </c>
      <c r="Q27" s="136">
        <f t="shared" si="26"/>
        <v>0.49854422898194606</v>
      </c>
      <c r="R27" s="136">
        <f t="shared" si="26"/>
        <v>0.4849354870277976</v>
      </c>
      <c r="S27" s="136">
        <f t="shared" si="26"/>
        <v>0.46967484070963011</v>
      </c>
      <c r="T27" s="136">
        <f t="shared" si="26"/>
        <v>0.4524421602567234</v>
      </c>
    </row>
    <row r="28" spans="1:21" ht="15" customHeight="1" x14ac:dyDescent="0.25">
      <c r="A28" s="6" t="s">
        <v>151</v>
      </c>
      <c r="B28" s="136">
        <f>B13/B3</f>
        <v>0.52304404682167571</v>
      </c>
      <c r="C28" s="136">
        <f t="shared" ref="C28:T28" si="27">C13/C3</f>
        <v>0.53565085003806145</v>
      </c>
      <c r="D28" s="136">
        <f t="shared" si="27"/>
        <v>0.67993706210663818</v>
      </c>
      <c r="E28" s="136">
        <f t="shared" si="27"/>
        <v>0.64630641360917629</v>
      </c>
      <c r="F28" s="136">
        <f t="shared" si="27"/>
        <v>0.53356526579460062</v>
      </c>
      <c r="G28" s="136">
        <f t="shared" si="27"/>
        <v>0.85796923179215256</v>
      </c>
      <c r="H28" s="136">
        <f t="shared" si="27"/>
        <v>0.53183546587471198</v>
      </c>
      <c r="I28" s="136">
        <f t="shared" si="27"/>
        <v>0.44754631761926694</v>
      </c>
      <c r="J28" s="136">
        <f t="shared" si="27"/>
        <v>0.50730822451423851</v>
      </c>
      <c r="K28" s="136">
        <f t="shared" si="27"/>
        <v>0.47630377971138238</v>
      </c>
      <c r="L28" s="136">
        <f t="shared" si="27"/>
        <v>0.46170355855084433</v>
      </c>
      <c r="M28" s="136">
        <f t="shared" si="27"/>
        <v>0.44793476993456732</v>
      </c>
      <c r="N28" s="136">
        <f t="shared" si="27"/>
        <v>0.43448186751890638</v>
      </c>
      <c r="O28" s="136">
        <f t="shared" si="27"/>
        <v>0.42076427753329348</v>
      </c>
      <c r="P28" s="136">
        <f t="shared" si="27"/>
        <v>0.4061993605880877</v>
      </c>
      <c r="Q28" s="136">
        <f t="shared" si="27"/>
        <v>0.39045582370292148</v>
      </c>
      <c r="R28" s="136">
        <f t="shared" si="27"/>
        <v>0.3731582994283868</v>
      </c>
      <c r="S28" s="136">
        <f t="shared" si="27"/>
        <v>0.35404872998858916</v>
      </c>
      <c r="T28" s="136">
        <f t="shared" si="27"/>
        <v>0.33270551080171379</v>
      </c>
    </row>
    <row r="29" spans="1:21" ht="15" customHeight="1" x14ac:dyDescent="0.25">
      <c r="A29" s="6" t="s">
        <v>816</v>
      </c>
      <c r="B29" s="136">
        <f>B21/B3</f>
        <v>0.45571396676554071</v>
      </c>
      <c r="C29" s="136">
        <f t="shared" ref="C29:T29" si="28">C21/C3</f>
        <v>0.52934957286644679</v>
      </c>
      <c r="D29" s="136">
        <f t="shared" si="28"/>
        <v>0.6714166963543523</v>
      </c>
      <c r="E29" s="136">
        <f t="shared" si="28"/>
        <v>0.65397063773594666</v>
      </c>
      <c r="F29" s="136">
        <f t="shared" si="28"/>
        <v>0.52070693014194269</v>
      </c>
      <c r="G29" s="136">
        <f t="shared" si="28"/>
        <v>0.82952817094556974</v>
      </c>
      <c r="H29" s="136">
        <f t="shared" si="28"/>
        <v>0.52027533375891633</v>
      </c>
      <c r="I29" s="136">
        <f t="shared" si="28"/>
        <v>0.42658267342178374</v>
      </c>
      <c r="J29" s="136">
        <f t="shared" si="28"/>
        <v>0.40540006279142782</v>
      </c>
      <c r="K29" s="136">
        <f t="shared" si="28"/>
        <v>0.65178926233072321</v>
      </c>
      <c r="L29" s="136">
        <f t="shared" si="28"/>
        <v>0.60358731297434054</v>
      </c>
      <c r="M29" s="136">
        <f t="shared" si="28"/>
        <v>0.55384214144766541</v>
      </c>
      <c r="N29" s="136">
        <f t="shared" si="28"/>
        <v>0.51329338573616823</v>
      </c>
      <c r="O29" s="136">
        <f t="shared" si="28"/>
        <v>0.47907206586222673</v>
      </c>
      <c r="P29" s="136">
        <f t="shared" si="28"/>
        <v>0.44891545293037782</v>
      </c>
      <c r="Q29" s="136">
        <f t="shared" si="28"/>
        <v>0.4212534217986994</v>
      </c>
      <c r="R29" s="136">
        <f t="shared" si="28"/>
        <v>0.39479316011544835</v>
      </c>
      <c r="S29" s="136">
        <f t="shared" si="28"/>
        <v>0.36859411318206148</v>
      </c>
      <c r="T29" s="136">
        <f t="shared" si="28"/>
        <v>0.34172462036127133</v>
      </c>
    </row>
    <row r="30" spans="1:21" ht="15" customHeight="1" x14ac:dyDescent="0.25">
      <c r="A30" s="123" t="s">
        <v>455</v>
      </c>
      <c r="B30">
        <f>'Bal patrim - Padronizado'!D44+'Bal patrim - Padronizado'!D53</f>
        <v>3.4339999999999997</v>
      </c>
      <c r="C30">
        <f>'Bal patrim - Padronizado'!E44+'Bal patrim - Padronizado'!E53</f>
        <v>2.7050000000000001</v>
      </c>
      <c r="D30">
        <f>'Bal patrim - Padronizado'!F44+'Bal patrim - Padronizado'!F53</f>
        <v>1.976</v>
      </c>
      <c r="E30">
        <f>'Bal patrim - Padronizado'!G44+'Bal patrim - Padronizado'!G53</f>
        <v>1.248</v>
      </c>
      <c r="F30">
        <f>'Bal patrim - Padronizado'!H44+'Bal patrim - Padronizado'!H53</f>
        <v>0.7390000000000001</v>
      </c>
      <c r="G30">
        <f>'Bal patrim - Padronizado'!I44+'Bal patrim - Padronizado'!I53</f>
        <v>0.53700000000000003</v>
      </c>
      <c r="H30">
        <f>'Bal patrim - Padronizado'!J44+'Bal patrim - Padronizado'!J53</f>
        <v>0.33600000000000002</v>
      </c>
      <c r="I30">
        <f>'Bal patrim - Padronizado'!K44+'Bal patrim - Padronizado'!K53</f>
        <v>0.13400000000000001</v>
      </c>
      <c r="J30">
        <f>'Bal patrim - Padronizado'!L44+'Bal patrim - Padronizado'!L53</f>
        <v>30.794</v>
      </c>
      <c r="K30" s="247">
        <f>'Bal patrim B3 - 3º TRI 2025'!K58+'Bal patrim B3 - 3º TRI 2025'!K59</f>
        <v>27.422000000000001</v>
      </c>
      <c r="L30" s="50">
        <f>'Proj. Despesa não operacional'!L7+'Proj. Despesa não operacional'!L10</f>
        <v>22.391243916008264</v>
      </c>
      <c r="M30" s="50">
        <f>'Proj. Despesa não operacional'!M7+'Proj. Despesa não operacional'!M10</f>
        <v>18.283432596211004</v>
      </c>
      <c r="N30" s="50">
        <f>'Proj. Despesa não operacional'!N7+'Proj. Despesa não operacional'!N10</f>
        <v>14.929238870911417</v>
      </c>
      <c r="O30" s="50">
        <f>'Proj. Despesa não operacional'!O7+'Proj. Despesa não operacional'!O10</f>
        <v>12.190401636045172</v>
      </c>
      <c r="P30" s="50">
        <f>'Proj. Despesa não operacional'!P7+'Proj. Despesa não operacional'!P10</f>
        <v>9.9540261175743261</v>
      </c>
      <c r="Q30" s="50">
        <f>'Proj. Despesa não operacional'!Q7+'Proj. Despesa não operacional'!Q10</f>
        <v>8.1279298962978999</v>
      </c>
      <c r="R30" s="50">
        <f>'Proj. Despesa não operacional'!R7+'Proj. Despesa não operacional'!R10</f>
        <v>6.6368428178507077</v>
      </c>
      <c r="S30" s="50">
        <f>'Proj. Despesa não operacional'!S7+'Proj. Despesa não operacional'!S10</f>
        <v>5.4193041185281672</v>
      </c>
      <c r="T30" s="50">
        <f>'Proj. Despesa não operacional'!T7+'Proj. Despesa não operacional'!T10</f>
        <v>4.4251288436159015</v>
      </c>
    </row>
    <row r="31" spans="1:21" ht="15" customHeight="1" x14ac:dyDescent="0.25">
      <c r="A31" s="123" t="s">
        <v>883</v>
      </c>
      <c r="B31">
        <f>'Bal patrim - Padronizado'!D7</f>
        <v>35.774000000000001</v>
      </c>
      <c r="C31">
        <f>'Bal patrim - Padronizado'!E7</f>
        <v>18.945</v>
      </c>
      <c r="D31">
        <f>'Bal patrim - Padronizado'!F7</f>
        <v>31.212</v>
      </c>
      <c r="E31">
        <f>'Bal patrim - Padronizado'!G7</f>
        <v>51.746000000000002</v>
      </c>
      <c r="F31">
        <f>'Bal patrim - Padronizado'!H7</f>
        <v>31.209</v>
      </c>
      <c r="G31">
        <f>'Bal patrim - Padronizado'!I7</f>
        <v>17.619</v>
      </c>
      <c r="H31">
        <f>'Bal patrim - Padronizado'!J7</f>
        <v>21.331</v>
      </c>
      <c r="I31">
        <f>'Bal patrim - Padronizado'!K7</f>
        <v>2.9359999999999999</v>
      </c>
      <c r="J31">
        <f>'Bal patrim - Padronizado'!L7</f>
        <v>7.3209999999999997</v>
      </c>
      <c r="K31" s="247">
        <f>'Bal patrim B3 - 3º TRI 2025 Atv'!E7</f>
        <v>38.090000000000003</v>
      </c>
      <c r="L31" t="s">
        <v>1037</v>
      </c>
      <c r="M31" t="s">
        <v>1037</v>
      </c>
      <c r="N31" t="s">
        <v>1037</v>
      </c>
      <c r="O31" t="s">
        <v>1037</v>
      </c>
      <c r="P31" t="s">
        <v>1037</v>
      </c>
      <c r="Q31" t="s">
        <v>1037</v>
      </c>
      <c r="R31" t="s">
        <v>1037</v>
      </c>
      <c r="S31" t="s">
        <v>1037</v>
      </c>
      <c r="T31" t="s">
        <v>1037</v>
      </c>
    </row>
    <row r="32" spans="1:21" ht="15" customHeight="1" x14ac:dyDescent="0.25">
      <c r="A32" s="123" t="s">
        <v>884</v>
      </c>
      <c r="B32">
        <f>B30-B31</f>
        <v>-32.340000000000003</v>
      </c>
      <c r="C32">
        <f t="shared" ref="C32:K32" si="29">C30-C31</f>
        <v>-16.240000000000002</v>
      </c>
      <c r="D32">
        <f t="shared" si="29"/>
        <v>-29.236000000000001</v>
      </c>
      <c r="E32">
        <f t="shared" si="29"/>
        <v>-50.498000000000005</v>
      </c>
      <c r="F32">
        <f t="shared" si="29"/>
        <v>-30.47</v>
      </c>
      <c r="G32">
        <f t="shared" si="29"/>
        <v>-17.082000000000001</v>
      </c>
      <c r="H32">
        <f t="shared" si="29"/>
        <v>-20.995000000000001</v>
      </c>
      <c r="I32">
        <f t="shared" si="29"/>
        <v>-2.802</v>
      </c>
      <c r="J32">
        <f t="shared" si="29"/>
        <v>23.472999999999999</v>
      </c>
      <c r="K32">
        <f t="shared" si="29"/>
        <v>-10.668000000000003</v>
      </c>
      <c r="L32" t="s">
        <v>1037</v>
      </c>
      <c r="M32" t="s">
        <v>1037</v>
      </c>
      <c r="N32" t="s">
        <v>1037</v>
      </c>
      <c r="O32" t="s">
        <v>1037</v>
      </c>
      <c r="P32" t="s">
        <v>1037</v>
      </c>
      <c r="Q32" t="s">
        <v>1037</v>
      </c>
      <c r="R32" t="s">
        <v>1037</v>
      </c>
      <c r="S32" t="s">
        <v>1037</v>
      </c>
      <c r="T32" t="s">
        <v>1037</v>
      </c>
    </row>
    <row r="33" spans="1:11" ht="15" customHeight="1" x14ac:dyDescent="0.25">
      <c r="A33" s="123" t="s">
        <v>1033</v>
      </c>
      <c r="B33" s="257">
        <f>B32/B23</f>
        <v>-1.9720714677724251</v>
      </c>
      <c r="C33" s="257">
        <f t="shared" ref="C33:K33" si="30">C32/C23</f>
        <v>-1.2821727459339967</v>
      </c>
      <c r="D33" s="257">
        <f t="shared" si="30"/>
        <v>-1.276513993799939</v>
      </c>
      <c r="E33" s="257">
        <f t="shared" si="30"/>
        <v>-2.0230759985577502</v>
      </c>
      <c r="F33" s="257">
        <f t="shared" si="30"/>
        <v>-1.589379792394763</v>
      </c>
      <c r="G33" s="257">
        <f t="shared" si="30"/>
        <v>-0.16537262570914091</v>
      </c>
      <c r="H33" s="257">
        <f t="shared" si="30"/>
        <v>-0.54538133832086455</v>
      </c>
      <c r="I33" s="257">
        <f t="shared" si="30"/>
        <v>-9.2411200158306117E-2</v>
      </c>
      <c r="J33" s="257">
        <f t="shared" si="30"/>
        <v>0.53565642043768957</v>
      </c>
      <c r="K33" s="257">
        <f t="shared" si="30"/>
        <v>-0.27354800844188942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ignoredErrors>
    <ignoredError sqref="J8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A95F-DCF9-4F74-89D2-91D25D113657}">
  <sheetPr>
    <tabColor theme="3" tint="0.79998168889431442"/>
  </sheetPr>
  <dimension ref="A1:AM63"/>
  <sheetViews>
    <sheetView showGridLines="0" tabSelected="1" topLeftCell="A25" workbookViewId="0">
      <selection activeCell="I38" sqref="I38"/>
    </sheetView>
  </sheetViews>
  <sheetFormatPr defaultRowHeight="15" outlineLevelCol="1" x14ac:dyDescent="0.25"/>
  <cols>
    <col min="2" max="2" width="12.7109375" customWidth="1"/>
    <col min="7" max="7" width="11.28515625" bestFit="1" customWidth="1"/>
    <col min="20" max="20" width="45" bestFit="1" customWidth="1" outlineLevel="1"/>
    <col min="21" max="37" width="9.140625" outlineLevel="1"/>
  </cols>
  <sheetData>
    <row r="1" spans="2:39" ht="15.75" thickBot="1" x14ac:dyDescent="0.3">
      <c r="B1" s="3" t="s">
        <v>680</v>
      </c>
      <c r="C1" s="4">
        <v>2016</v>
      </c>
      <c r="D1" s="4">
        <v>2017</v>
      </c>
      <c r="E1" s="4">
        <v>2018</v>
      </c>
      <c r="F1" s="4">
        <v>2019</v>
      </c>
      <c r="G1" s="4">
        <v>2020</v>
      </c>
      <c r="H1" s="4">
        <v>2021</v>
      </c>
      <c r="I1" s="4">
        <v>2022</v>
      </c>
      <c r="J1" s="4">
        <v>2023</v>
      </c>
      <c r="K1" s="4">
        <v>2024</v>
      </c>
      <c r="L1" s="4" t="s">
        <v>57</v>
      </c>
      <c r="T1" s="284" t="s">
        <v>812</v>
      </c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6"/>
    </row>
    <row r="2" spans="2:39" x14ac:dyDescent="0.25">
      <c r="B2" s="6" t="s">
        <v>49</v>
      </c>
      <c r="C2" s="15">
        <v>31.353000000000002</v>
      </c>
      <c r="D2" s="15">
        <v>23.646000000000001</v>
      </c>
      <c r="E2" s="15">
        <v>33.683999999999997</v>
      </c>
      <c r="F2" s="15">
        <v>38.621000000000002</v>
      </c>
      <c r="G2" s="15">
        <v>35.93</v>
      </c>
      <c r="H2" s="15">
        <v>120.319</v>
      </c>
      <c r="I2" s="15">
        <v>72.058000000000007</v>
      </c>
      <c r="J2" s="15">
        <v>67.307000000000002</v>
      </c>
      <c r="K2" s="15">
        <v>85.998999999999995</v>
      </c>
      <c r="L2" s="122">
        <v>81.447000000000003</v>
      </c>
      <c r="T2" s="171" t="s">
        <v>742</v>
      </c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13"/>
    </row>
    <row r="3" spans="2:39" x14ac:dyDescent="0.25">
      <c r="B3" s="6" t="s">
        <v>682</v>
      </c>
      <c r="C3" s="121">
        <f>'DRE - Ajustado 3º TRI 2025'!C11</f>
        <v>17.178000000000001</v>
      </c>
      <c r="D3" s="121">
        <f>'DRE - Ajustado 3º TRI 2025'!D11</f>
        <v>13.221</v>
      </c>
      <c r="E3" s="121">
        <f>'DRE - Ajustado 3º TRI 2025'!E11</f>
        <v>23.655999999999999</v>
      </c>
      <c r="F3" s="121">
        <f>'DRE - Ajustado 3º TRI 2025'!F11</f>
        <v>25.614999999999998</v>
      </c>
      <c r="G3" s="121">
        <f>'DRE - Ajustado 3º TRI 2025'!G11</f>
        <v>23.298999999999999</v>
      </c>
      <c r="H3" s="121">
        <f>'DRE - Ajustado 3º TRI 2025'!H11</f>
        <v>106.654</v>
      </c>
      <c r="I3" s="121">
        <f>'DRE - Ajustado 3º TRI 2025'!I11</f>
        <v>44.548000000000002</v>
      </c>
      <c r="J3" s="121">
        <f>'DRE - Ajustado 3º TRI 2025'!J11</f>
        <v>34.988999999999997</v>
      </c>
      <c r="K3" s="121">
        <f>'DRE - Ajustado 3º TRI 2025'!K11</f>
        <v>47.908000000000001</v>
      </c>
      <c r="L3" s="121">
        <f>'DRE - Ajustado 3º TRI 2025'!L11</f>
        <v>55.133000000000003</v>
      </c>
      <c r="T3" s="220" t="s">
        <v>726</v>
      </c>
      <c r="U3" s="221"/>
      <c r="V3" s="221"/>
      <c r="W3" s="221"/>
      <c r="X3" s="221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115"/>
    </row>
    <row r="4" spans="2:39" ht="15.75" thickBot="1" x14ac:dyDescent="0.3">
      <c r="B4" s="6" t="s">
        <v>681</v>
      </c>
      <c r="C4" s="121">
        <f>'DRE - Ajustado 3º TRI 2025'!C20</f>
        <v>16.399000000000001</v>
      </c>
      <c r="D4" s="121">
        <f>'DRE - Ajustado 3º TRI 2025'!D20</f>
        <v>12.666</v>
      </c>
      <c r="E4" s="121">
        <f>'DRE - Ajustado 3º TRI 2025'!E20</f>
        <v>22.902999999999999</v>
      </c>
      <c r="F4" s="121">
        <f>'DRE - Ajustado 3º TRI 2025'!F20</f>
        <v>24.960999999999999</v>
      </c>
      <c r="G4" s="121">
        <f>'DRE - Ajustado 3º TRI 2025'!G20</f>
        <v>19.170999999999999</v>
      </c>
      <c r="H4" s="121">
        <f>'DRE - Ajustado 3º TRI 2025'!H20</f>
        <v>103.23</v>
      </c>
      <c r="I4" s="121">
        <f>'DRE - Ajustado 3º TRI 2025'!I20</f>
        <v>38.323</v>
      </c>
      <c r="J4" s="121">
        <f>'DRE - Ajustado 3º TRI 2025'!J20</f>
        <v>30.123000000000001</v>
      </c>
      <c r="K4" s="121">
        <f>'DRE - Ajustado 3º TRI 2025'!K20</f>
        <v>43.628</v>
      </c>
      <c r="L4" s="121">
        <f>'DRE - Ajustado 3º TRI 2025'!L20</f>
        <v>50.097000000000001</v>
      </c>
      <c r="T4" s="114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115"/>
    </row>
    <row r="5" spans="2:39" x14ac:dyDescent="0.25">
      <c r="B5" s="6" t="s">
        <v>709</v>
      </c>
      <c r="C5" s="134">
        <f>'DRE - Ajustado 3º TRI 2025'!C31/'DRE - Ajustado 3º TRI 2025'!C30</f>
        <v>0.32721194142298821</v>
      </c>
      <c r="D5" s="134">
        <f>'DRE - Ajustado 3º TRI 2025'!D31/'DRE - Ajustado 3º TRI 2025'!D30</f>
        <v>0.16240631691648821</v>
      </c>
      <c r="E5" s="134">
        <f>'DRE - Ajustado 3º TRI 2025'!E31/'DRE - Ajustado 3º TRI 2025'!E30</f>
        <v>6.9491874099979437E-2</v>
      </c>
      <c r="F5" s="134">
        <f>'DRE - Ajustado 3º TRI 2025'!F31/'DRE - Ajustado 3º TRI 2025'!F30</f>
        <v>7.6661548585216052E-2</v>
      </c>
      <c r="G5" s="134">
        <f>'DRE - Ajustado 3º TRI 2025'!G31/'DRE - Ajustado 3º TRI 2025'!G30</f>
        <v>8.4462931245412293E-2</v>
      </c>
      <c r="H5" s="134">
        <f>'DRE - Ajustado 3º TRI 2025'!H31/'DRE - Ajustado 3º TRI 2025'!H30</f>
        <v>4.181867055796628E-2</v>
      </c>
      <c r="I5" s="134">
        <f>'DRE - Ajustado 3º TRI 2025'!I31/'DRE - Ajustado 3º TRI 2025'!I30</f>
        <v>8.8876467300167697E-2</v>
      </c>
      <c r="J5" s="134">
        <f>'DRE - Ajustado 3º TRI 2025'!J31/'DRE - Ajustado 3º TRI 2025'!J30</f>
        <v>9.8042911444098893E-2</v>
      </c>
      <c r="K5" s="134">
        <f>'DRE - Ajustado 3º TRI 2025'!K31/'DRE - Ajustado 3º TRI 2025'!K30</f>
        <v>0.23857152446801369</v>
      </c>
      <c r="L5" s="134">
        <f>'DRE - Ajustado 3º TRI 2025'!L31/'DRE - Ajustado 3º TRI 2025'!L30</f>
        <v>0.29344521464185819</v>
      </c>
      <c r="T5" s="165" t="s">
        <v>684</v>
      </c>
      <c r="U5" s="128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115"/>
    </row>
    <row r="6" spans="2:39" x14ac:dyDescent="0.25">
      <c r="B6" s="6" t="s">
        <v>420</v>
      </c>
      <c r="C6" s="121">
        <f>C4*(1-C5)</f>
        <v>11.033051372604419</v>
      </c>
      <c r="D6" s="121">
        <f t="shared" ref="D6:L6" si="0">D4*(1-D5)</f>
        <v>10.608961589935761</v>
      </c>
      <c r="E6" s="121">
        <f t="shared" si="0"/>
        <v>21.31142760748817</v>
      </c>
      <c r="F6" s="121">
        <f t="shared" si="0"/>
        <v>23.047451085764422</v>
      </c>
      <c r="G6" s="121">
        <f t="shared" si="0"/>
        <v>17.551761145094201</v>
      </c>
      <c r="H6" s="121">
        <f t="shared" si="0"/>
        <v>98.913058638301138</v>
      </c>
      <c r="I6" s="121">
        <f t="shared" si="0"/>
        <v>34.916987143655675</v>
      </c>
      <c r="J6" s="121">
        <f t="shared" si="0"/>
        <v>27.169653378569407</v>
      </c>
      <c r="K6" s="121">
        <f t="shared" si="0"/>
        <v>33.2196015305095</v>
      </c>
      <c r="L6" s="121">
        <f t="shared" si="0"/>
        <v>35.396275082086831</v>
      </c>
      <c r="T6" s="166" t="s">
        <v>685</v>
      </c>
      <c r="U6" s="125">
        <v>0.97957377833340276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115"/>
    </row>
    <row r="7" spans="2:39" x14ac:dyDescent="0.25">
      <c r="B7" s="123"/>
      <c r="T7" s="166" t="s">
        <v>686</v>
      </c>
      <c r="U7" s="125">
        <v>0.95956478719837857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115"/>
    </row>
    <row r="8" spans="2:39" x14ac:dyDescent="0.25">
      <c r="B8" s="123"/>
      <c r="T8" s="173" t="s">
        <v>687</v>
      </c>
      <c r="U8" s="129">
        <v>0.94801186925505809</v>
      </c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115"/>
    </row>
    <row r="9" spans="2:39" x14ac:dyDescent="0.25">
      <c r="T9" s="166" t="s">
        <v>688</v>
      </c>
      <c r="U9" s="125">
        <v>5.9409811564250932</v>
      </c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115"/>
    </row>
    <row r="10" spans="2:39" ht="15.75" thickBot="1" x14ac:dyDescent="0.3">
      <c r="B10" s="124" t="s">
        <v>683</v>
      </c>
      <c r="T10" s="167" t="s">
        <v>689</v>
      </c>
      <c r="U10" s="126">
        <v>10</v>
      </c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115"/>
    </row>
    <row r="11" spans="2:39" x14ac:dyDescent="0.25">
      <c r="B11" t="s">
        <v>680</v>
      </c>
      <c r="C11" t="s">
        <v>49</v>
      </c>
      <c r="D11" t="s">
        <v>682</v>
      </c>
      <c r="E11" t="s">
        <v>681</v>
      </c>
      <c r="F11" s="29" t="s">
        <v>708</v>
      </c>
      <c r="G11" t="s">
        <v>710</v>
      </c>
      <c r="H11" s="130" t="s">
        <v>709</v>
      </c>
      <c r="I11" t="s">
        <v>420</v>
      </c>
      <c r="T11" s="114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115"/>
    </row>
    <row r="12" spans="2:39" ht="15.75" thickBot="1" x14ac:dyDescent="0.3">
      <c r="B12">
        <v>2016</v>
      </c>
      <c r="C12">
        <v>31.353000000000002</v>
      </c>
      <c r="D12">
        <v>17.178000000000001</v>
      </c>
      <c r="E12">
        <v>16.399000000000001</v>
      </c>
      <c r="F12">
        <f t="shared" ref="F12:F21" si="1">$U$19+($U$20*B12)+($U$21*C12)</f>
        <v>25.183040698276379</v>
      </c>
      <c r="G12" s="136">
        <f t="shared" ref="G12:G21" si="2">E12/C12</f>
        <v>0.52304404682167571</v>
      </c>
      <c r="H12" s="135">
        <f>'DRE - Ajustado 3º TRI 2025'!C31/'DRE - Ajustado 3º TRI 2025'!C30</f>
        <v>0.32721194142298821</v>
      </c>
      <c r="I12" s="50">
        <f>E12*(1-H12)</f>
        <v>11.033051372604419</v>
      </c>
      <c r="T12" s="114" t="s">
        <v>690</v>
      </c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115"/>
    </row>
    <row r="13" spans="2:39" x14ac:dyDescent="0.25">
      <c r="B13">
        <v>2017</v>
      </c>
      <c r="C13">
        <v>23.646000000000001</v>
      </c>
      <c r="D13">
        <v>13.221</v>
      </c>
      <c r="E13">
        <v>12.666</v>
      </c>
      <c r="F13">
        <f t="shared" si="1"/>
        <v>12.695882932620137</v>
      </c>
      <c r="G13" s="136">
        <f t="shared" si="2"/>
        <v>0.53565085003806145</v>
      </c>
      <c r="H13" s="135">
        <f>'DRE - Ajustado 3º TRI 2025'!D31/'DRE - Ajustado 3º TRI 2025'!D30</f>
        <v>0.16240631691648821</v>
      </c>
      <c r="I13" s="50">
        <f t="shared" ref="I13:I21" si="3">E13*(1-H13)</f>
        <v>10.608961589935761</v>
      </c>
      <c r="T13" s="168"/>
      <c r="U13" s="127" t="s">
        <v>695</v>
      </c>
      <c r="V13" s="127" t="s">
        <v>696</v>
      </c>
      <c r="W13" s="127" t="s">
        <v>697</v>
      </c>
      <c r="X13" s="127" t="s">
        <v>698</v>
      </c>
      <c r="Y13" s="127" t="s">
        <v>699</v>
      </c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15"/>
    </row>
    <row r="14" spans="2:39" x14ac:dyDescent="0.25">
      <c r="B14">
        <v>2018</v>
      </c>
      <c r="C14">
        <v>33.683999999999997</v>
      </c>
      <c r="D14">
        <v>23.655999999999999</v>
      </c>
      <c r="E14">
        <v>22.902999999999999</v>
      </c>
      <c r="F14">
        <f t="shared" si="1"/>
        <v>19.11327120363174</v>
      </c>
      <c r="G14" s="136">
        <f t="shared" si="2"/>
        <v>0.67993706210663818</v>
      </c>
      <c r="H14" s="135">
        <f>'DRE - Ajustado 3º TRI 2025'!E31/'DRE - Ajustado 3º TRI 2025'!E30</f>
        <v>6.9491874099979437E-2</v>
      </c>
      <c r="I14" s="50">
        <f t="shared" si="3"/>
        <v>21.31142760748817</v>
      </c>
      <c r="T14" s="166" t="s">
        <v>691</v>
      </c>
      <c r="U14" s="125">
        <v>2</v>
      </c>
      <c r="V14" s="125">
        <v>5863.1223791930133</v>
      </c>
      <c r="W14" s="125">
        <v>2931.5611895965067</v>
      </c>
      <c r="X14" s="125">
        <v>83.058218876485014</v>
      </c>
      <c r="Y14" s="125">
        <v>1.3294103807966292E-5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115"/>
    </row>
    <row r="15" spans="2:39" x14ac:dyDescent="0.25">
      <c r="B15">
        <v>2019</v>
      </c>
      <c r="C15">
        <v>38.621000000000002</v>
      </c>
      <c r="D15">
        <v>25.614999999999998</v>
      </c>
      <c r="E15">
        <v>24.960999999999999</v>
      </c>
      <c r="F15">
        <f t="shared" si="1"/>
        <v>20.096334913750553</v>
      </c>
      <c r="G15" s="136">
        <f t="shared" si="2"/>
        <v>0.64630641360917629</v>
      </c>
      <c r="H15" s="135">
        <f>'DRE - Ajustado 3º TRI 2025'!F31/'DRE - Ajustado 3º TRI 2025'!F30</f>
        <v>7.6661548585216052E-2</v>
      </c>
      <c r="I15" s="50">
        <f t="shared" si="3"/>
        <v>23.047451085764422</v>
      </c>
      <c r="T15" s="166" t="s">
        <v>692</v>
      </c>
      <c r="U15" s="125">
        <v>7</v>
      </c>
      <c r="V15" s="125">
        <v>247.06679970698625</v>
      </c>
      <c r="W15" s="125">
        <v>35.295257100998036</v>
      </c>
      <c r="X15" s="125"/>
      <c r="Y15" s="125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115"/>
    </row>
    <row r="16" spans="2:39" ht="15.75" thickBot="1" x14ac:dyDescent="0.3">
      <c r="B16">
        <v>2020</v>
      </c>
      <c r="C16">
        <v>35.93</v>
      </c>
      <c r="D16">
        <v>23.298999999999999</v>
      </c>
      <c r="E16">
        <v>19.170999999999999</v>
      </c>
      <c r="F16">
        <f t="shared" si="1"/>
        <v>12.952947388721299</v>
      </c>
      <c r="G16" s="136">
        <f t="shared" si="2"/>
        <v>0.53356526579460062</v>
      </c>
      <c r="H16" s="135">
        <f>'DRE - Ajustado 3º TRI 2025'!G31/'DRE - Ajustado 3º TRI 2025'!G30</f>
        <v>8.4462931245412293E-2</v>
      </c>
      <c r="I16" s="50">
        <f t="shared" si="3"/>
        <v>17.551761145094201</v>
      </c>
      <c r="T16" s="167" t="s">
        <v>693</v>
      </c>
      <c r="U16" s="126">
        <v>9</v>
      </c>
      <c r="V16" s="126">
        <v>6110.1891788999992</v>
      </c>
      <c r="W16" s="126"/>
      <c r="X16" s="126"/>
      <c r="Y16" s="126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115"/>
    </row>
    <row r="17" spans="1:37" ht="15.75" thickBot="1" x14ac:dyDescent="0.3">
      <c r="B17">
        <v>2021</v>
      </c>
      <c r="C17">
        <v>120.319</v>
      </c>
      <c r="D17">
        <v>106.654</v>
      </c>
      <c r="E17">
        <v>103.23</v>
      </c>
      <c r="F17">
        <f t="shared" si="1"/>
        <v>98.579797613651834</v>
      </c>
      <c r="G17" s="136">
        <f t="shared" si="2"/>
        <v>0.85796923179215256</v>
      </c>
      <c r="H17" s="135">
        <f>'DRE - Ajustado 3º TRI 2025'!H31/'DRE - Ajustado 3º TRI 2025'!H30</f>
        <v>4.181867055796628E-2</v>
      </c>
      <c r="I17" s="50">
        <f t="shared" si="3"/>
        <v>98.913058638301138</v>
      </c>
      <c r="T17" s="114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115"/>
    </row>
    <row r="18" spans="1:37" x14ac:dyDescent="0.25">
      <c r="B18">
        <v>2022</v>
      </c>
      <c r="C18">
        <v>72.058000000000007</v>
      </c>
      <c r="D18">
        <v>44.548000000000002</v>
      </c>
      <c r="E18">
        <v>38.323</v>
      </c>
      <c r="F18">
        <f t="shared" si="1"/>
        <v>42.888640976706327</v>
      </c>
      <c r="G18" s="136">
        <f t="shared" si="2"/>
        <v>0.53183546587471198</v>
      </c>
      <c r="H18" s="135">
        <f>'DRE - Ajustado 3º TRI 2025'!I31/'DRE - Ajustado 3º TRI 2025'!I30</f>
        <v>8.8876467300167697E-2</v>
      </c>
      <c r="I18" s="50">
        <f t="shared" si="3"/>
        <v>34.916987143655675</v>
      </c>
      <c r="T18" s="168"/>
      <c r="U18" s="127" t="s">
        <v>700</v>
      </c>
      <c r="V18" s="127" t="s">
        <v>688</v>
      </c>
      <c r="W18" s="127" t="s">
        <v>701</v>
      </c>
      <c r="X18" s="127" t="s">
        <v>702</v>
      </c>
      <c r="Y18" s="127" t="s">
        <v>703</v>
      </c>
      <c r="Z18" s="127" t="s">
        <v>704</v>
      </c>
      <c r="AA18" s="127" t="s">
        <v>705</v>
      </c>
      <c r="AB18" s="127" t="s">
        <v>706</v>
      </c>
      <c r="AC18" s="32"/>
      <c r="AD18" s="32"/>
      <c r="AE18" s="32"/>
      <c r="AF18" s="32"/>
      <c r="AG18" s="32"/>
      <c r="AH18" s="32"/>
      <c r="AI18" s="32"/>
      <c r="AJ18" s="32"/>
      <c r="AK18" s="115"/>
    </row>
    <row r="19" spans="1:37" x14ac:dyDescent="0.25">
      <c r="B19">
        <v>2023</v>
      </c>
      <c r="C19">
        <v>67.307000000000002</v>
      </c>
      <c r="D19">
        <v>34.988999999999997</v>
      </c>
      <c r="E19">
        <v>30.123000000000001</v>
      </c>
      <c r="F19">
        <f t="shared" si="1"/>
        <v>33.550642866411593</v>
      </c>
      <c r="G19" s="136">
        <f t="shared" si="2"/>
        <v>0.44754631761926694</v>
      </c>
      <c r="H19" s="135">
        <f>'DRE - Ajustado 3º TRI 2025'!J31/'DRE - Ajustado 3º TRI 2025'!J30</f>
        <v>9.8042911444098893E-2</v>
      </c>
      <c r="I19" s="50">
        <f t="shared" si="3"/>
        <v>27.169653378569407</v>
      </c>
      <c r="T19" s="166" t="s">
        <v>694</v>
      </c>
      <c r="U19" s="125">
        <v>8613.2945489544454</v>
      </c>
      <c r="V19" s="125">
        <v>1860.7223103957206</v>
      </c>
      <c r="W19" s="125">
        <v>4.6290058977809823</v>
      </c>
      <c r="X19" s="129">
        <v>2.4004990314928048E-3</v>
      </c>
      <c r="Y19" s="125">
        <v>4213.3854483129671</v>
      </c>
      <c r="Z19" s="125">
        <v>13013.203649595924</v>
      </c>
      <c r="AA19" s="125">
        <v>2101.727902717199</v>
      </c>
      <c r="AB19" s="125">
        <v>15124.861195191692</v>
      </c>
      <c r="AC19" s="32"/>
      <c r="AD19" s="32"/>
      <c r="AE19" s="32"/>
      <c r="AF19" s="32"/>
      <c r="AG19" s="32"/>
      <c r="AH19" s="32"/>
      <c r="AI19" s="32"/>
      <c r="AJ19" s="32"/>
      <c r="AK19" s="115"/>
    </row>
    <row r="20" spans="1:37" x14ac:dyDescent="0.25">
      <c r="B20">
        <v>2024</v>
      </c>
      <c r="C20">
        <v>85.998999999999995</v>
      </c>
      <c r="D20">
        <v>47.908000000000001</v>
      </c>
      <c r="E20">
        <v>43.628</v>
      </c>
      <c r="F20">
        <f t="shared" si="1"/>
        <v>49.187526285426785</v>
      </c>
      <c r="G20" s="136">
        <f t="shared" si="2"/>
        <v>0.50730822451423851</v>
      </c>
      <c r="H20" s="135">
        <f>'DRE - Ajustado 3º TRI 2025'!K31/'DRE - Ajustado 3º TRI 2025'!K30</f>
        <v>0.23857152446801369</v>
      </c>
      <c r="I20" s="50">
        <f t="shared" si="3"/>
        <v>33.2196015305095</v>
      </c>
      <c r="T20" s="166" t="s">
        <v>680</v>
      </c>
      <c r="U20" s="125">
        <v>-4.2765442799081947</v>
      </c>
      <c r="V20" s="125">
        <v>0.92276318345557329</v>
      </c>
      <c r="W20" s="125">
        <v>-4.6344981644080629</v>
      </c>
      <c r="X20" s="129">
        <v>2.3850070897394522E-3</v>
      </c>
      <c r="Y20" s="125">
        <v>-6.4585324819842054</v>
      </c>
      <c r="Z20" s="125">
        <v>-2.0945560778321841</v>
      </c>
      <c r="AA20" s="125">
        <v>-7.5057386278209437</v>
      </c>
      <c r="AB20" s="125">
        <v>-1.0473499319954458</v>
      </c>
      <c r="AC20" s="32"/>
      <c r="AD20" s="32"/>
      <c r="AE20" s="32"/>
      <c r="AF20" s="32"/>
      <c r="AG20" s="32"/>
      <c r="AH20" s="32"/>
      <c r="AI20" s="32"/>
      <c r="AJ20" s="32"/>
      <c r="AK20" s="115"/>
    </row>
    <row r="21" spans="1:37" ht="15.75" thickBot="1" x14ac:dyDescent="0.3">
      <c r="B21">
        <v>2025</v>
      </c>
      <c r="C21">
        <v>75.760000000000005</v>
      </c>
      <c r="D21">
        <v>41.201000000000001</v>
      </c>
      <c r="E21">
        <v>36.847000000000001</v>
      </c>
      <c r="F21">
        <f t="shared" si="1"/>
        <v>34.002915120793773</v>
      </c>
      <c r="G21" s="136">
        <f t="shared" si="2"/>
        <v>0.48636483632523758</v>
      </c>
      <c r="H21" s="135">
        <f>'DRE - Ajustado 3º TRI 2025'!L31/'DRE - Ajustado 3º TRI 2025'!L30</f>
        <v>0.29344521464185819</v>
      </c>
      <c r="I21" s="50">
        <f t="shared" si="3"/>
        <v>26.034424176091449</v>
      </c>
      <c r="T21" s="167" t="s">
        <v>49</v>
      </c>
      <c r="U21" s="126">
        <v>1.0653449443036263</v>
      </c>
      <c r="V21" s="126">
        <v>9.033059676392248E-2</v>
      </c>
      <c r="W21" s="126">
        <v>11.793843752498255</v>
      </c>
      <c r="X21" s="133">
        <v>7.1418975660291015E-6</v>
      </c>
      <c r="Y21" s="126">
        <v>0.85174702453480644</v>
      </c>
      <c r="Z21" s="126">
        <v>1.2789428640724461</v>
      </c>
      <c r="AA21" s="126">
        <v>0.74923452968857696</v>
      </c>
      <c r="AB21" s="126">
        <v>1.3814553589186755</v>
      </c>
      <c r="AC21" s="169"/>
      <c r="AD21" s="169"/>
      <c r="AE21" s="169"/>
      <c r="AF21" s="169"/>
      <c r="AG21" s="169"/>
      <c r="AH21" s="169"/>
      <c r="AI21" s="169"/>
      <c r="AJ21" s="169"/>
      <c r="AK21" s="170"/>
    </row>
    <row r="24" spans="1:37" x14ac:dyDescent="0.25">
      <c r="A24" t="s">
        <v>712</v>
      </c>
    </row>
    <row r="25" spans="1:37" x14ac:dyDescent="0.25">
      <c r="A25" t="s">
        <v>711</v>
      </c>
      <c r="D25">
        <v>2018</v>
      </c>
      <c r="E25">
        <v>2019</v>
      </c>
      <c r="F25">
        <v>2020</v>
      </c>
      <c r="G25">
        <v>2021</v>
      </c>
      <c r="H25">
        <v>2022</v>
      </c>
      <c r="I25">
        <v>2023</v>
      </c>
      <c r="J25">
        <v>2024</v>
      </c>
      <c r="K25">
        <v>2025</v>
      </c>
    </row>
    <row r="26" spans="1:37" x14ac:dyDescent="0.25">
      <c r="A26" s="29" t="s">
        <v>49</v>
      </c>
      <c r="D26" s="29">
        <v>33.683999999999997</v>
      </c>
      <c r="E26" s="58">
        <v>38.621000000000002</v>
      </c>
      <c r="F26" s="58">
        <v>35.93</v>
      </c>
      <c r="G26" s="29">
        <v>120.319</v>
      </c>
      <c r="H26" s="29">
        <v>72.058000000000007</v>
      </c>
      <c r="I26" s="29">
        <v>67.307000000000002</v>
      </c>
      <c r="J26" s="58">
        <v>85.998999999999995</v>
      </c>
      <c r="K26" s="58">
        <v>81.447000000000003</v>
      </c>
    </row>
    <row r="27" spans="1:37" x14ac:dyDescent="0.25">
      <c r="A27" s="29" t="s">
        <v>429</v>
      </c>
      <c r="D27" s="29">
        <v>0</v>
      </c>
      <c r="E27" s="83">
        <f>E26/D26-1</f>
        <v>0.14656810355064742</v>
      </c>
      <c r="F27" s="83">
        <f t="shared" ref="F27:K27" si="4">F26/E26-1</f>
        <v>-6.9677118666010784E-2</v>
      </c>
      <c r="G27" s="83">
        <f t="shared" si="4"/>
        <v>2.3487058168661288</v>
      </c>
      <c r="H27" s="83">
        <f t="shared" si="4"/>
        <v>-0.4011087193211379</v>
      </c>
      <c r="I27" s="83">
        <f t="shared" si="4"/>
        <v>-6.5932998417941202E-2</v>
      </c>
      <c r="J27" s="83">
        <f t="shared" si="4"/>
        <v>0.27771257075787048</v>
      </c>
      <c r="K27" s="83">
        <f t="shared" si="4"/>
        <v>-5.293084803311654E-2</v>
      </c>
    </row>
    <row r="28" spans="1:37" x14ac:dyDescent="0.25">
      <c r="E28" s="136"/>
      <c r="F28" s="136"/>
      <c r="G28" s="136"/>
      <c r="H28" s="136"/>
      <c r="I28" s="136"/>
      <c r="J28" s="136"/>
      <c r="K28" s="136"/>
    </row>
    <row r="29" spans="1:37" x14ac:dyDescent="0.25">
      <c r="J29" s="136"/>
    </row>
    <row r="30" spans="1:37" x14ac:dyDescent="0.25">
      <c r="A30" s="29" t="s">
        <v>722</v>
      </c>
    </row>
    <row r="31" spans="1:37" x14ac:dyDescent="0.25">
      <c r="A31" s="29" t="s">
        <v>429</v>
      </c>
      <c r="C31" s="48">
        <f>EXP(C32)-1</f>
        <v>6.5889304262572113E-2</v>
      </c>
    </row>
    <row r="32" spans="1:37" x14ac:dyDescent="0.25">
      <c r="A32" s="56" t="s">
        <v>430</v>
      </c>
      <c r="C32" s="57">
        <f>AVERAGE(E32:K32)</f>
        <v>6.3809478196497307E-2</v>
      </c>
      <c r="E32" s="57">
        <f>LN(E27+1)</f>
        <v>0.1367732228169202</v>
      </c>
      <c r="F32" s="57">
        <f>LN(F27+1)</f>
        <v>-7.2223568859238446E-2</v>
      </c>
      <c r="G32" s="29"/>
      <c r="H32" s="29"/>
      <c r="I32" s="29"/>
      <c r="J32" s="57">
        <f>LN(J27+1)</f>
        <v>0.24507142515003255</v>
      </c>
      <c r="K32" s="57">
        <f>LN(K27+1)</f>
        <v>-5.4383166321725067E-2</v>
      </c>
    </row>
    <row r="33" spans="1:11" x14ac:dyDescent="0.25">
      <c r="A33" s="56" t="s">
        <v>766</v>
      </c>
      <c r="C33" s="57">
        <f>_xlfn.STDEV.S(E32:F32,J32:K32)</f>
        <v>0.15346453721940606</v>
      </c>
      <c r="E33" s="83"/>
      <c r="F33" s="83"/>
      <c r="G33" s="29"/>
      <c r="H33" s="29"/>
      <c r="I33" s="29"/>
      <c r="J33" s="83"/>
      <c r="K33" s="83"/>
    </row>
    <row r="34" spans="1:11" x14ac:dyDescent="0.25">
      <c r="A34" s="56" t="s">
        <v>768</v>
      </c>
      <c r="C34" s="198">
        <f>(C40-C32)/C33</f>
        <v>-8.9984816340690429E-2</v>
      </c>
      <c r="E34" s="196"/>
      <c r="F34" s="196"/>
      <c r="G34" s="197"/>
      <c r="H34" s="197"/>
      <c r="I34" s="197"/>
      <c r="J34" s="196"/>
      <c r="K34" s="196"/>
    </row>
    <row r="35" spans="1:11" x14ac:dyDescent="0.25">
      <c r="A35" s="56"/>
      <c r="E35" s="196"/>
      <c r="F35" s="196"/>
      <c r="G35" s="197"/>
      <c r="H35" s="197"/>
      <c r="I35" s="197"/>
      <c r="J35" s="196"/>
      <c r="K35" s="196"/>
    </row>
    <row r="40" spans="1:11" x14ac:dyDescent="0.25">
      <c r="A40" s="56" t="s">
        <v>767</v>
      </c>
      <c r="C40" s="57">
        <v>0.05</v>
      </c>
    </row>
    <row r="41" spans="1:11" x14ac:dyDescent="0.25">
      <c r="C41" s="57"/>
    </row>
    <row r="42" spans="1:11" x14ac:dyDescent="0.25">
      <c r="A42" s="199" t="s">
        <v>769</v>
      </c>
      <c r="C42" s="200">
        <f>EXP(C32+C34*C33)-1</f>
        <v>5.1271096376024117E-2</v>
      </c>
    </row>
    <row r="43" spans="1:11" x14ac:dyDescent="0.25">
      <c r="A43" s="199" t="s">
        <v>770</v>
      </c>
      <c r="C43" s="200">
        <f>EXP(C32+0*C33)-1</f>
        <v>6.5889304262572113E-2</v>
      </c>
    </row>
    <row r="44" spans="1:11" x14ac:dyDescent="0.25">
      <c r="A44" s="199" t="s">
        <v>771</v>
      </c>
      <c r="C44" s="200">
        <f>EXP(C32-C34*C33)-1</f>
        <v>8.0710782269026504E-2</v>
      </c>
    </row>
    <row r="45" spans="1:11" x14ac:dyDescent="0.25">
      <c r="A45" t="s">
        <v>772</v>
      </c>
      <c r="C45" s="57"/>
    </row>
    <row r="47" spans="1:11" x14ac:dyDescent="0.25">
      <c r="A47" s="29" t="s">
        <v>715</v>
      </c>
    </row>
    <row r="48" spans="1:11" x14ac:dyDescent="0.25">
      <c r="A48" t="s">
        <v>713</v>
      </c>
      <c r="B48" s="26">
        <f>C31</f>
        <v>6.5889304262572113E-2</v>
      </c>
    </row>
    <row r="49" spans="1:17" x14ac:dyDescent="0.25">
      <c r="A49" t="s">
        <v>714</v>
      </c>
      <c r="B49" s="26">
        <v>0.02</v>
      </c>
    </row>
    <row r="50" spans="1:17" x14ac:dyDescent="0.25">
      <c r="A50" t="s">
        <v>716</v>
      </c>
      <c r="B50">
        <v>8</v>
      </c>
    </row>
    <row r="51" spans="1:17" x14ac:dyDescent="0.25">
      <c r="A51" t="s">
        <v>1078</v>
      </c>
      <c r="B51" s="26">
        <f>(B48-B49)/B50</f>
        <v>5.7361630328215136E-3</v>
      </c>
      <c r="C51" t="s">
        <v>717</v>
      </c>
    </row>
    <row r="53" spans="1:17" x14ac:dyDescent="0.25">
      <c r="A53" s="29" t="s">
        <v>718</v>
      </c>
      <c r="B53" s="29" t="s">
        <v>719</v>
      </c>
      <c r="C53" s="29" t="s">
        <v>720</v>
      </c>
      <c r="G53" t="str" cm="1">
        <f t="array" ref="G53:Q55">TRANSPOSE(A53:C63)</f>
        <v>Ano</v>
      </c>
      <c r="H53" s="202">
        <v>2025</v>
      </c>
      <c r="I53" s="202">
        <v>2026</v>
      </c>
      <c r="J53" s="202">
        <v>2027</v>
      </c>
      <c r="K53" s="202">
        <v>2028</v>
      </c>
      <c r="L53" s="202">
        <v>2029</v>
      </c>
      <c r="M53" s="202">
        <v>2030</v>
      </c>
      <c r="N53" s="202">
        <v>2031</v>
      </c>
      <c r="O53" s="202">
        <v>2032</v>
      </c>
      <c r="P53" s="202">
        <v>2033</v>
      </c>
      <c r="Q53" s="202">
        <v>2034</v>
      </c>
    </row>
    <row r="54" spans="1:17" x14ac:dyDescent="0.25">
      <c r="A54" s="29">
        <v>2025</v>
      </c>
      <c r="B54" s="48">
        <v>0</v>
      </c>
      <c r="C54" s="51">
        <f>L2*(1+B54)</f>
        <v>81.447000000000003</v>
      </c>
      <c r="G54" t="str">
        <v>Crescimento (%)</v>
      </c>
      <c r="H54" s="50">
        <v>0</v>
      </c>
      <c r="I54" s="50">
        <v>6.5889304262572113E-2</v>
      </c>
      <c r="J54" s="50">
        <v>6.0153141229750601E-2</v>
      </c>
      <c r="K54" s="50">
        <v>5.4416978196929089E-2</v>
      </c>
      <c r="L54" s="50">
        <v>4.8680815164107577E-2</v>
      </c>
      <c r="M54" s="50">
        <v>4.2944652131286065E-2</v>
      </c>
      <c r="N54" s="50">
        <v>3.7208489098464553E-2</v>
      </c>
      <c r="O54" s="50">
        <v>3.1472326065643041E-2</v>
      </c>
      <c r="P54" s="50">
        <v>2.573616303282153E-2</v>
      </c>
      <c r="Q54" s="50">
        <v>0.02</v>
      </c>
    </row>
    <row r="55" spans="1:17" x14ac:dyDescent="0.25">
      <c r="A55" s="29">
        <v>2026</v>
      </c>
      <c r="B55" s="48">
        <f>B48</f>
        <v>6.5889304262572113E-2</v>
      </c>
      <c r="C55" s="51">
        <f>C54*(1+B55)</f>
        <v>86.813486164273712</v>
      </c>
      <c r="G55" t="str">
        <v>Receita (R$ mi)</v>
      </c>
      <c r="H55" s="50">
        <v>81.447000000000003</v>
      </c>
      <c r="I55" s="50">
        <v>86.813486164273712</v>
      </c>
      <c r="J55" s="50">
        <v>92.035590058160281</v>
      </c>
      <c r="K55" s="50">
        <v>97.043888755696685</v>
      </c>
      <c r="L55" s="50">
        <v>101.76806436701898</v>
      </c>
      <c r="M55" s="50">
        <v>106.13845848933495</v>
      </c>
      <c r="N55" s="50">
        <v>110.0877101649632</v>
      </c>
      <c r="O55" s="50">
        <v>113.55242647509493</v>
      </c>
      <c r="P55" s="50">
        <v>116.47483023563045</v>
      </c>
      <c r="Q55" s="50">
        <v>118.80432684034307</v>
      </c>
    </row>
    <row r="56" spans="1:17" x14ac:dyDescent="0.25">
      <c r="A56" s="29">
        <v>2027</v>
      </c>
      <c r="B56" s="48">
        <f t="shared" ref="B56:B62" si="5">B55-$B$51</f>
        <v>6.0153141229750601E-2</v>
      </c>
      <c r="C56" s="51">
        <f>C55*(1+B56)</f>
        <v>92.035590058160281</v>
      </c>
      <c r="G56" t="s">
        <v>708</v>
      </c>
      <c r="H56" s="50">
        <f t="shared" ref="H56:Q56" si="6">$U$19+($U$20*H53)+($U$21*H55)</f>
        <v>40.061531819048483</v>
      </c>
      <c r="I56" s="50">
        <f t="shared" si="6"/>
        <v>41.502146442924655</v>
      </c>
      <c r="J56" s="50">
        <f t="shared" si="6"/>
        <v>42.78894414499679</v>
      </c>
      <c r="K56" s="50">
        <f t="shared" si="6"/>
        <v>43.847965562071437</v>
      </c>
      <c r="L56" s="50">
        <f t="shared" si="6"/>
        <v>44.604297885687942</v>
      </c>
      <c r="M56" s="50">
        <f t="shared" si="6"/>
        <v>44.983730888603361</v>
      </c>
      <c r="N56" s="50">
        <f t="shared" si="6"/>
        <v>44.914501915108346</v>
      </c>
      <c r="O56" s="50">
        <f t="shared" si="6"/>
        <v>44.329075639645311</v>
      </c>
      <c r="P56" s="50">
        <f t="shared" si="6"/>
        <v>43.165899431237534</v>
      </c>
      <c r="Q56" s="50">
        <f t="shared" si="6"/>
        <v>41.371072581932381</v>
      </c>
    </row>
    <row r="57" spans="1:17" x14ac:dyDescent="0.25">
      <c r="A57" s="29">
        <v>2028</v>
      </c>
      <c r="B57" s="48">
        <f t="shared" si="5"/>
        <v>5.4416978196929089E-2</v>
      </c>
      <c r="C57" s="51">
        <f>C56*(1+B57)</f>
        <v>97.043888755696685</v>
      </c>
      <c r="G57" t="s">
        <v>725</v>
      </c>
      <c r="H57" s="50">
        <f t="shared" ref="H57:Q57" si="7">H56/H55</f>
        <v>0.49187240560178375</v>
      </c>
      <c r="I57" s="50">
        <f t="shared" si="7"/>
        <v>0.47806105107208563</v>
      </c>
      <c r="J57" s="50">
        <f t="shared" si="7"/>
        <v>0.46491736640094411</v>
      </c>
      <c r="K57" s="50">
        <f t="shared" si="7"/>
        <v>0.45183644353387958</v>
      </c>
      <c r="L57" s="50">
        <f t="shared" si="7"/>
        <v>0.43829366474757592</v>
      </c>
      <c r="M57" s="50">
        <f t="shared" si="7"/>
        <v>0.42382121927202698</v>
      </c>
      <c r="N57" s="50">
        <f t="shared" si="7"/>
        <v>0.40798833809700724</v>
      </c>
      <c r="O57" s="50">
        <f t="shared" si="7"/>
        <v>0.39038422177061849</v>
      </c>
      <c r="P57" s="50">
        <f t="shared" si="7"/>
        <v>0.37060281044335697</v>
      </c>
      <c r="Q57" s="50">
        <f t="shared" si="7"/>
        <v>0.3482286687885493</v>
      </c>
    </row>
    <row r="58" spans="1:17" x14ac:dyDescent="0.25">
      <c r="A58" s="29">
        <v>2029</v>
      </c>
      <c r="B58" s="48">
        <f t="shared" si="5"/>
        <v>4.8680815164107577E-2</v>
      </c>
      <c r="C58" s="51">
        <f t="shared" ref="C58:C63" si="8">C57*(1+B58)</f>
        <v>101.76806436701898</v>
      </c>
    </row>
    <row r="59" spans="1:17" x14ac:dyDescent="0.25">
      <c r="A59" s="29">
        <v>2030</v>
      </c>
      <c r="B59" s="48">
        <f t="shared" si="5"/>
        <v>4.2944652131286065E-2</v>
      </c>
      <c r="C59" s="51">
        <f t="shared" si="8"/>
        <v>106.13845848933495</v>
      </c>
    </row>
    <row r="60" spans="1:17" x14ac:dyDescent="0.25">
      <c r="A60" s="29">
        <v>2031</v>
      </c>
      <c r="B60" s="48">
        <f t="shared" si="5"/>
        <v>3.7208489098464553E-2</v>
      </c>
      <c r="C60" s="51">
        <f t="shared" si="8"/>
        <v>110.0877101649632</v>
      </c>
    </row>
    <row r="61" spans="1:17" x14ac:dyDescent="0.25">
      <c r="A61" s="29">
        <v>2032</v>
      </c>
      <c r="B61" s="48">
        <f t="shared" si="5"/>
        <v>3.1472326065643041E-2</v>
      </c>
      <c r="C61" s="51">
        <f t="shared" si="8"/>
        <v>113.55242647509493</v>
      </c>
    </row>
    <row r="62" spans="1:17" x14ac:dyDescent="0.25">
      <c r="A62" s="29">
        <v>2033</v>
      </c>
      <c r="B62" s="48">
        <f t="shared" si="5"/>
        <v>2.573616303282153E-2</v>
      </c>
      <c r="C62" s="51">
        <f t="shared" si="8"/>
        <v>116.47483023563045</v>
      </c>
    </row>
    <row r="63" spans="1:17" x14ac:dyDescent="0.25">
      <c r="A63" s="29">
        <v>2034</v>
      </c>
      <c r="B63" s="48">
        <v>0.02</v>
      </c>
      <c r="C63" s="51">
        <f t="shared" si="8"/>
        <v>118.80432684034307</v>
      </c>
    </row>
  </sheetData>
  <dataConsolidate/>
  <mergeCells count="1">
    <mergeCell ref="T1:AM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B636-D8B6-463F-AA05-81E6B2F0E4BE}">
  <sheetPr>
    <tabColor theme="3" tint="0.79998168889431442"/>
  </sheetPr>
  <dimension ref="A1:BF43"/>
  <sheetViews>
    <sheetView showGridLines="0" zoomScale="85" zoomScaleNormal="85" workbookViewId="0">
      <selection activeCell="K26" sqref="K26"/>
    </sheetView>
  </sheetViews>
  <sheetFormatPr defaultRowHeight="15" outlineLevelCol="1" x14ac:dyDescent="0.25"/>
  <cols>
    <col min="1" max="1" width="15.7109375" customWidth="1"/>
    <col min="11" max="15" width="8.7109375" customWidth="1"/>
    <col min="16" max="16" width="25.140625" customWidth="1" outlineLevel="1"/>
    <col min="17" max="25" width="9.140625" customWidth="1" outlineLevel="1"/>
    <col min="26" max="26" width="24.85546875" customWidth="1" outlineLevel="1"/>
    <col min="27" max="35" width="9.140625" customWidth="1" outlineLevel="1"/>
    <col min="39" max="58" width="9.140625" customWidth="1" outlineLevel="1"/>
  </cols>
  <sheetData>
    <row r="1" spans="1:58" ht="15.75" thickBot="1" x14ac:dyDescent="0.3">
      <c r="A1" s="3" t="s">
        <v>718</v>
      </c>
      <c r="B1" s="162">
        <v>2016</v>
      </c>
      <c r="C1" s="162">
        <v>2017</v>
      </c>
      <c r="D1" s="162">
        <v>2018</v>
      </c>
      <c r="E1" s="162">
        <v>2019</v>
      </c>
      <c r="F1" s="162">
        <v>2020</v>
      </c>
      <c r="G1" s="162">
        <v>2021</v>
      </c>
      <c r="H1" s="162">
        <v>2022</v>
      </c>
      <c r="I1" s="162">
        <v>2023</v>
      </c>
      <c r="J1" s="162">
        <v>2024</v>
      </c>
      <c r="P1" s="284" t="s">
        <v>741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6"/>
      <c r="AM1" s="288" t="s">
        <v>746</v>
      </c>
      <c r="AN1" s="289"/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89"/>
      <c r="AZ1" s="289"/>
      <c r="BA1" s="289"/>
      <c r="BB1" s="289"/>
      <c r="BC1" s="289"/>
      <c r="BD1" s="289"/>
      <c r="BE1" s="289"/>
      <c r="BF1" s="290"/>
    </row>
    <row r="2" spans="1:58" x14ac:dyDescent="0.25">
      <c r="A2" s="6" t="s">
        <v>49</v>
      </c>
      <c r="B2" s="160">
        <v>31.353000000000002</v>
      </c>
      <c r="C2" s="160">
        <v>23.646000000000001</v>
      </c>
      <c r="D2" s="160">
        <v>33.683999999999997</v>
      </c>
      <c r="E2" s="160">
        <v>38.621000000000002</v>
      </c>
      <c r="F2" s="160">
        <v>35.93</v>
      </c>
      <c r="G2" s="160">
        <v>120.319</v>
      </c>
      <c r="H2" s="160">
        <v>72.058000000000007</v>
      </c>
      <c r="I2" s="160">
        <v>67.307000000000002</v>
      </c>
      <c r="J2" s="160">
        <v>85.998999999999995</v>
      </c>
      <c r="P2" s="171" t="s">
        <v>742</v>
      </c>
      <c r="Q2" s="163"/>
      <c r="R2" s="163"/>
      <c r="S2" s="163"/>
      <c r="T2" s="163"/>
      <c r="U2" s="163"/>
      <c r="V2" s="163"/>
      <c r="W2" s="163"/>
      <c r="X2" s="163"/>
      <c r="Y2" s="113"/>
      <c r="Z2" s="171" t="s">
        <v>743</v>
      </c>
      <c r="AA2" s="163"/>
      <c r="AB2" s="163"/>
      <c r="AC2" s="163"/>
      <c r="AD2" s="163"/>
      <c r="AE2" s="163"/>
      <c r="AF2" s="163"/>
      <c r="AG2" s="163"/>
      <c r="AH2" s="163"/>
      <c r="AI2" s="113"/>
      <c r="AM2" s="171" t="s">
        <v>747</v>
      </c>
      <c r="AN2" s="163"/>
      <c r="AO2" s="163"/>
      <c r="AP2" s="163"/>
      <c r="AQ2" s="163"/>
      <c r="AR2" s="163"/>
      <c r="AS2" s="163"/>
      <c r="AT2" s="163"/>
      <c r="AU2" s="163"/>
      <c r="AV2" s="113"/>
      <c r="AW2" s="171" t="s">
        <v>763</v>
      </c>
      <c r="AX2" s="163"/>
      <c r="AY2" s="163"/>
      <c r="AZ2" s="163"/>
      <c r="BA2" s="163"/>
      <c r="BB2" s="163"/>
      <c r="BC2" s="163"/>
      <c r="BD2" s="163"/>
      <c r="BE2" s="163"/>
      <c r="BF2" s="113"/>
    </row>
    <row r="3" spans="1:58" x14ac:dyDescent="0.25">
      <c r="A3" s="10" t="s">
        <v>728</v>
      </c>
      <c r="B3" s="161">
        <v>0</v>
      </c>
      <c r="C3" s="161">
        <v>10.425000000000001</v>
      </c>
      <c r="D3" s="161">
        <v>10.028</v>
      </c>
      <c r="E3" s="161">
        <v>13.006</v>
      </c>
      <c r="F3" s="161">
        <v>12.631</v>
      </c>
      <c r="G3" s="161">
        <v>13.664999999999999</v>
      </c>
      <c r="H3" s="161">
        <v>27.45</v>
      </c>
      <c r="I3" s="161">
        <v>32.273000000000003</v>
      </c>
      <c r="J3" s="161">
        <v>38.033999999999999</v>
      </c>
      <c r="P3" s="114" t="s">
        <v>740</v>
      </c>
      <c r="Q3" s="32"/>
      <c r="R3" s="32"/>
      <c r="S3" s="32"/>
      <c r="T3" s="32"/>
      <c r="U3" s="32"/>
      <c r="V3" s="32"/>
      <c r="W3" s="32"/>
      <c r="X3" s="32"/>
      <c r="Y3" s="115"/>
      <c r="Z3" s="114" t="s">
        <v>740</v>
      </c>
      <c r="AA3" s="32"/>
      <c r="AB3" s="32"/>
      <c r="AC3" s="287" t="s">
        <v>744</v>
      </c>
      <c r="AD3" s="287"/>
      <c r="AE3" s="287"/>
      <c r="AF3" s="287"/>
      <c r="AG3" s="287"/>
      <c r="AH3" s="287"/>
      <c r="AI3" s="115"/>
      <c r="AM3" s="114" t="s">
        <v>740</v>
      </c>
      <c r="AN3" s="32"/>
      <c r="AO3" s="32"/>
      <c r="AP3" s="32"/>
      <c r="AQ3" s="32"/>
      <c r="AR3" s="32"/>
      <c r="AS3" s="32"/>
      <c r="AT3" s="32"/>
      <c r="AU3" s="32"/>
      <c r="AV3" s="115"/>
      <c r="AW3" s="114" t="s">
        <v>740</v>
      </c>
      <c r="AX3" s="32"/>
      <c r="AY3" s="32"/>
      <c r="AZ3" s="32"/>
      <c r="BA3" s="32"/>
      <c r="BB3" s="32"/>
      <c r="BC3" s="32"/>
      <c r="BD3" s="32"/>
      <c r="BE3" s="32"/>
      <c r="BF3" s="115"/>
    </row>
    <row r="4" spans="1:58" ht="15.75" thickBot="1" x14ac:dyDescent="0.3">
      <c r="A4" s="10" t="s">
        <v>163</v>
      </c>
      <c r="B4" s="161">
        <v>0</v>
      </c>
      <c r="C4" s="161">
        <v>0</v>
      </c>
      <c r="D4" s="161">
        <v>0</v>
      </c>
      <c r="E4" s="161">
        <v>0</v>
      </c>
      <c r="F4" s="161">
        <v>0</v>
      </c>
      <c r="G4" s="161">
        <v>0</v>
      </c>
      <c r="H4" s="161">
        <v>0.06</v>
      </c>
      <c r="I4" s="161">
        <v>4.4999999999999998E-2</v>
      </c>
      <c r="J4" s="161">
        <v>5.7000000000000002E-2</v>
      </c>
      <c r="P4" s="114"/>
      <c r="Q4" s="32"/>
      <c r="R4" s="32"/>
      <c r="S4" s="32"/>
      <c r="T4" s="32"/>
      <c r="U4" s="32"/>
      <c r="V4" s="32"/>
      <c r="W4" s="32"/>
      <c r="X4" s="32"/>
      <c r="Y4" s="115"/>
      <c r="Z4" s="114"/>
      <c r="AA4" s="32"/>
      <c r="AB4" s="32"/>
      <c r="AC4" s="287"/>
      <c r="AD4" s="287"/>
      <c r="AE4" s="287"/>
      <c r="AF4" s="287"/>
      <c r="AG4" s="287"/>
      <c r="AH4" s="287"/>
      <c r="AI4" s="115"/>
      <c r="AM4" s="114"/>
      <c r="AN4" s="32"/>
      <c r="AO4" s="32"/>
      <c r="AP4" s="32"/>
      <c r="AQ4" s="32"/>
      <c r="AR4" s="32"/>
      <c r="AS4" s="32"/>
      <c r="AT4" s="32"/>
      <c r="AU4" s="32"/>
      <c r="AV4" s="115"/>
      <c r="AW4" s="114"/>
      <c r="AX4" s="32"/>
      <c r="AY4" s="32"/>
      <c r="AZ4" s="287" t="s">
        <v>744</v>
      </c>
      <c r="BA4" s="287"/>
      <c r="BB4" s="287"/>
      <c r="BC4" s="287"/>
      <c r="BD4" s="287"/>
      <c r="BE4" s="287"/>
      <c r="BF4" s="115"/>
    </row>
    <row r="5" spans="1:58" x14ac:dyDescent="0.25">
      <c r="A5" s="6" t="s">
        <v>74</v>
      </c>
      <c r="B5" s="160">
        <v>17.178000000000001</v>
      </c>
      <c r="C5" s="160">
        <v>13.221</v>
      </c>
      <c r="D5" s="160">
        <v>23.655999999999999</v>
      </c>
      <c r="E5" s="160">
        <v>25.614999999999998</v>
      </c>
      <c r="F5" s="160">
        <v>23.298999999999999</v>
      </c>
      <c r="G5" s="160">
        <v>106.654</v>
      </c>
      <c r="H5" s="160">
        <v>44.548000000000002</v>
      </c>
      <c r="I5" s="160">
        <v>34.988999999999997</v>
      </c>
      <c r="J5" s="160">
        <v>47.907999999999994</v>
      </c>
      <c r="P5" s="165" t="s">
        <v>684</v>
      </c>
      <c r="Q5" s="128"/>
      <c r="R5" s="32"/>
      <c r="S5" s="32"/>
      <c r="T5" s="32"/>
      <c r="U5" s="32"/>
      <c r="V5" s="32"/>
      <c r="W5" s="32"/>
      <c r="X5" s="32"/>
      <c r="Y5" s="115"/>
      <c r="Z5" s="165" t="s">
        <v>684</v>
      </c>
      <c r="AA5" s="128"/>
      <c r="AB5" s="32"/>
      <c r="AC5" s="287"/>
      <c r="AD5" s="287"/>
      <c r="AE5" s="287"/>
      <c r="AF5" s="287"/>
      <c r="AG5" s="287"/>
      <c r="AH5" s="287"/>
      <c r="AI5" s="115"/>
      <c r="AM5" s="165" t="s">
        <v>684</v>
      </c>
      <c r="AN5" s="128"/>
      <c r="AO5" s="32"/>
      <c r="AP5" s="32"/>
      <c r="AQ5" s="32"/>
      <c r="AR5" s="32"/>
      <c r="AS5" s="32"/>
      <c r="AT5" s="32"/>
      <c r="AU5" s="32"/>
      <c r="AV5" s="115"/>
      <c r="AW5" s="165" t="s">
        <v>684</v>
      </c>
      <c r="AX5" s="128"/>
      <c r="AY5" s="32"/>
      <c r="AZ5" s="287"/>
      <c r="BA5" s="287"/>
      <c r="BB5" s="287"/>
      <c r="BC5" s="287"/>
      <c r="BD5" s="287"/>
      <c r="BE5" s="287"/>
      <c r="BF5" s="115"/>
    </row>
    <row r="6" spans="1:58" x14ac:dyDescent="0.25">
      <c r="P6" s="166" t="s">
        <v>685</v>
      </c>
      <c r="Q6" s="125">
        <v>0.86629102090546051</v>
      </c>
      <c r="R6" s="32"/>
      <c r="S6" s="32"/>
      <c r="T6" s="32"/>
      <c r="U6" s="32"/>
      <c r="V6" s="32"/>
      <c r="W6" s="32"/>
      <c r="X6" s="32"/>
      <c r="Y6" s="115"/>
      <c r="Z6" s="166" t="s">
        <v>685</v>
      </c>
      <c r="AA6" s="125">
        <v>0.8492741240980809</v>
      </c>
      <c r="AB6" s="32"/>
      <c r="AC6" s="287"/>
      <c r="AD6" s="287"/>
      <c r="AE6" s="287"/>
      <c r="AF6" s="287"/>
      <c r="AG6" s="287"/>
      <c r="AH6" s="287"/>
      <c r="AI6" s="115"/>
      <c r="AM6" s="166" t="s">
        <v>685</v>
      </c>
      <c r="AN6" s="125">
        <v>0.94556716048925715</v>
      </c>
      <c r="AO6" s="32"/>
      <c r="AP6" s="32"/>
      <c r="AQ6" s="32"/>
      <c r="AR6" s="32"/>
      <c r="AS6" s="32"/>
      <c r="AT6" s="32"/>
      <c r="AU6" s="32"/>
      <c r="AV6" s="115"/>
      <c r="AW6" s="166" t="s">
        <v>685</v>
      </c>
      <c r="AX6" s="125">
        <v>0.94423085520030314</v>
      </c>
      <c r="AY6" s="32"/>
      <c r="AZ6" s="287"/>
      <c r="BA6" s="287"/>
      <c r="BB6" s="287"/>
      <c r="BC6" s="287"/>
      <c r="BD6" s="287"/>
      <c r="BE6" s="287"/>
      <c r="BF6" s="115"/>
    </row>
    <row r="7" spans="1:58" x14ac:dyDescent="0.25">
      <c r="A7" t="s">
        <v>718</v>
      </c>
      <c r="B7" t="s">
        <v>49</v>
      </c>
      <c r="C7" t="s">
        <v>728</v>
      </c>
      <c r="D7" t="s">
        <v>163</v>
      </c>
      <c r="E7" t="s">
        <v>74</v>
      </c>
      <c r="P7" s="166" t="s">
        <v>686</v>
      </c>
      <c r="Q7" s="125">
        <v>0.7504601329014251</v>
      </c>
      <c r="R7" s="32"/>
      <c r="S7" s="32"/>
      <c r="T7" s="32"/>
      <c r="U7" s="32"/>
      <c r="V7" s="32"/>
      <c r="W7" s="32"/>
      <c r="X7" s="32"/>
      <c r="Y7" s="115"/>
      <c r="Z7" s="166" t="s">
        <v>686</v>
      </c>
      <c r="AA7" s="125">
        <v>0.72126653786256245</v>
      </c>
      <c r="AB7" s="32"/>
      <c r="AC7" s="32"/>
      <c r="AD7" s="32"/>
      <c r="AE7" s="32"/>
      <c r="AF7" s="32"/>
      <c r="AG7" s="32"/>
      <c r="AH7" s="32"/>
      <c r="AI7" s="115"/>
      <c r="AM7" s="166" t="s">
        <v>686</v>
      </c>
      <c r="AN7" s="125">
        <v>0.89409725499571668</v>
      </c>
      <c r="AO7" s="32"/>
      <c r="AP7" s="32"/>
      <c r="AQ7" s="32"/>
      <c r="AR7" s="32"/>
      <c r="AS7" s="32"/>
      <c r="AT7" s="32"/>
      <c r="AU7" s="32"/>
      <c r="AV7" s="115"/>
      <c r="AW7" s="166" t="s">
        <v>686</v>
      </c>
      <c r="AX7" s="125">
        <v>0.8915719079122959</v>
      </c>
      <c r="AY7" s="32"/>
      <c r="AZ7" s="287"/>
      <c r="BA7" s="287"/>
      <c r="BB7" s="287"/>
      <c r="BC7" s="287"/>
      <c r="BD7" s="287"/>
      <c r="BE7" s="287"/>
      <c r="BF7" s="115"/>
    </row>
    <row r="8" spans="1:58" x14ac:dyDescent="0.25">
      <c r="A8">
        <v>2016</v>
      </c>
      <c r="B8">
        <v>31.353000000000002</v>
      </c>
      <c r="C8">
        <v>14.175000000000001</v>
      </c>
      <c r="D8">
        <v>0</v>
      </c>
      <c r="E8">
        <v>17.178000000000001</v>
      </c>
      <c r="P8" s="166" t="s">
        <v>687</v>
      </c>
      <c r="Q8" s="172">
        <v>0.66728017720190014</v>
      </c>
      <c r="R8" s="32"/>
      <c r="S8" s="32"/>
      <c r="T8" s="32"/>
      <c r="U8" s="32"/>
      <c r="V8" s="32"/>
      <c r="W8" s="32"/>
      <c r="X8" s="32"/>
      <c r="Y8" s="115"/>
      <c r="Z8" s="173" t="s">
        <v>687</v>
      </c>
      <c r="AA8" s="174">
        <v>0.68144747184292853</v>
      </c>
      <c r="AB8" s="32"/>
      <c r="AC8" s="32"/>
      <c r="AD8" s="32"/>
      <c r="AE8" s="32"/>
      <c r="AF8" s="32"/>
      <c r="AG8" s="32"/>
      <c r="AH8" s="32"/>
      <c r="AI8" s="115"/>
      <c r="AM8" s="166" t="s">
        <v>687</v>
      </c>
      <c r="AN8" s="125">
        <v>0.83055560799314665</v>
      </c>
      <c r="AO8" s="32"/>
      <c r="AP8" s="32"/>
      <c r="AQ8" s="32"/>
      <c r="AR8" s="32"/>
      <c r="AS8" s="32"/>
      <c r="AT8" s="32"/>
      <c r="AU8" s="32"/>
      <c r="AV8" s="115"/>
      <c r="AW8" s="166" t="s">
        <v>687</v>
      </c>
      <c r="AX8" s="125">
        <v>0.87608218047119535</v>
      </c>
      <c r="AY8" s="32"/>
      <c r="AZ8" s="32"/>
      <c r="BA8" s="32"/>
      <c r="BB8" s="32"/>
      <c r="BC8" s="32"/>
      <c r="BD8" s="32"/>
      <c r="BE8" s="32"/>
      <c r="BF8" s="115"/>
    </row>
    <row r="9" spans="1:58" x14ac:dyDescent="0.25">
      <c r="A9">
        <v>2017</v>
      </c>
      <c r="B9">
        <v>23.646000000000001</v>
      </c>
      <c r="C9">
        <v>10.425000000000001</v>
      </c>
      <c r="D9">
        <v>0</v>
      </c>
      <c r="E9">
        <v>13.221</v>
      </c>
      <c r="P9" s="166" t="s">
        <v>688</v>
      </c>
      <c r="Q9" s="125">
        <v>6.0911010973596547</v>
      </c>
      <c r="R9" s="32"/>
      <c r="S9" s="32"/>
      <c r="T9" s="32"/>
      <c r="U9" s="32"/>
      <c r="V9" s="32"/>
      <c r="W9" s="32"/>
      <c r="X9" s="32"/>
      <c r="Y9" s="115"/>
      <c r="Z9" s="166" t="s">
        <v>688</v>
      </c>
      <c r="AA9" s="125">
        <v>5.9600101292259726</v>
      </c>
      <c r="AB9" s="32"/>
      <c r="AC9" s="32"/>
      <c r="AD9" s="32"/>
      <c r="AE9" s="32"/>
      <c r="AF9" s="32"/>
      <c r="AG9" s="32"/>
      <c r="AH9" s="32"/>
      <c r="AI9" s="115"/>
      <c r="AM9" s="166" t="s">
        <v>688</v>
      </c>
      <c r="AN9" s="125">
        <v>1.1233597417884621E-2</v>
      </c>
      <c r="AO9" s="32"/>
      <c r="AP9" s="32"/>
      <c r="AQ9" s="32"/>
      <c r="AR9" s="32"/>
      <c r="AS9" s="32"/>
      <c r="AT9" s="32"/>
      <c r="AU9" s="32"/>
      <c r="AV9" s="115"/>
      <c r="AW9" s="166" t="s">
        <v>688</v>
      </c>
      <c r="AX9" s="125">
        <v>9.6066537407193571E-3</v>
      </c>
      <c r="AY9" s="32"/>
      <c r="AZ9" s="32"/>
      <c r="BA9" s="32"/>
      <c r="BB9" s="32"/>
      <c r="BC9" s="32"/>
      <c r="BD9" s="32"/>
      <c r="BE9" s="32"/>
      <c r="BF9" s="115"/>
    </row>
    <row r="10" spans="1:58" ht="15.75" thickBot="1" x14ac:dyDescent="0.3">
      <c r="A10">
        <v>2018</v>
      </c>
      <c r="B10">
        <v>33.683999999999997</v>
      </c>
      <c r="C10">
        <v>10.028</v>
      </c>
      <c r="D10">
        <v>0</v>
      </c>
      <c r="E10">
        <v>23.655999999999999</v>
      </c>
      <c r="P10" s="167" t="s">
        <v>689</v>
      </c>
      <c r="Q10" s="126">
        <v>9</v>
      </c>
      <c r="R10" s="32"/>
      <c r="S10" s="32"/>
      <c r="T10" s="32"/>
      <c r="U10" s="32"/>
      <c r="V10" s="32"/>
      <c r="W10" s="32"/>
      <c r="X10" s="32"/>
      <c r="Y10" s="115"/>
      <c r="Z10" s="167" t="s">
        <v>689</v>
      </c>
      <c r="AA10" s="126">
        <v>9</v>
      </c>
      <c r="AB10" s="32"/>
      <c r="AC10" s="32"/>
      <c r="AD10" s="32"/>
      <c r="AE10" s="32"/>
      <c r="AF10" s="32"/>
      <c r="AG10" s="32"/>
      <c r="AH10" s="32"/>
      <c r="AI10" s="115"/>
      <c r="AM10" s="167" t="s">
        <v>689</v>
      </c>
      <c r="AN10" s="126">
        <v>9</v>
      </c>
      <c r="AO10" s="32"/>
      <c r="AP10" s="32"/>
      <c r="AQ10" s="32"/>
      <c r="AR10" s="32"/>
      <c r="AS10" s="32"/>
      <c r="AT10" s="32"/>
      <c r="AU10" s="32"/>
      <c r="AV10" s="115"/>
      <c r="AW10" s="167" t="s">
        <v>689</v>
      </c>
      <c r="AX10" s="126">
        <v>9</v>
      </c>
      <c r="AY10" s="32"/>
      <c r="AZ10" s="32"/>
      <c r="BA10" s="32"/>
      <c r="BB10" s="32"/>
      <c r="BC10" s="32"/>
      <c r="BD10" s="32"/>
      <c r="BE10" s="32"/>
      <c r="BF10" s="115"/>
    </row>
    <row r="11" spans="1:58" x14ac:dyDescent="0.25">
      <c r="A11">
        <v>2019</v>
      </c>
      <c r="B11">
        <v>38.621000000000002</v>
      </c>
      <c r="C11">
        <v>13.006</v>
      </c>
      <c r="D11">
        <v>0</v>
      </c>
      <c r="E11">
        <v>25.614999999999998</v>
      </c>
      <c r="P11" s="114"/>
      <c r="Q11" s="32"/>
      <c r="R11" s="32"/>
      <c r="S11" s="32"/>
      <c r="T11" s="32"/>
      <c r="U11" s="32"/>
      <c r="V11" s="32"/>
      <c r="W11" s="32"/>
      <c r="X11" s="32"/>
      <c r="Y11" s="115"/>
      <c r="Z11" s="114"/>
      <c r="AA11" s="32"/>
      <c r="AB11" s="32"/>
      <c r="AC11" s="32"/>
      <c r="AD11" s="32"/>
      <c r="AE11" s="32"/>
      <c r="AF11" s="32"/>
      <c r="AG11" s="32"/>
      <c r="AH11" s="32"/>
      <c r="AI11" s="115"/>
      <c r="AM11" s="114"/>
      <c r="AN11" s="32"/>
      <c r="AO11" s="32"/>
      <c r="AP11" s="32"/>
      <c r="AQ11" s="32"/>
      <c r="AR11" s="32"/>
      <c r="AS11" s="32"/>
      <c r="AT11" s="32"/>
      <c r="AU11" s="32"/>
      <c r="AV11" s="115"/>
      <c r="AW11" s="114"/>
      <c r="AX11" s="32"/>
      <c r="AY11" s="32"/>
      <c r="AZ11" s="32"/>
      <c r="BA11" s="32"/>
      <c r="BB11" s="32"/>
      <c r="BC11" s="32"/>
      <c r="BD11" s="32"/>
      <c r="BE11" s="32"/>
      <c r="BF11" s="115"/>
    </row>
    <row r="12" spans="1:58" ht="15.75" thickBot="1" x14ac:dyDescent="0.3">
      <c r="A12">
        <v>2020</v>
      </c>
      <c r="B12">
        <v>35.93</v>
      </c>
      <c r="C12">
        <v>12.631</v>
      </c>
      <c r="D12">
        <v>0</v>
      </c>
      <c r="E12">
        <v>23.298999999999999</v>
      </c>
      <c r="P12" s="114" t="s">
        <v>690</v>
      </c>
      <c r="Q12" s="32"/>
      <c r="R12" s="32"/>
      <c r="S12" s="32"/>
      <c r="T12" s="32"/>
      <c r="U12" s="32"/>
      <c r="V12" s="32"/>
      <c r="W12" s="32"/>
      <c r="X12" s="32"/>
      <c r="Y12" s="115"/>
      <c r="Z12" s="114" t="s">
        <v>690</v>
      </c>
      <c r="AA12" s="32"/>
      <c r="AB12" s="32"/>
      <c r="AC12" s="32"/>
      <c r="AD12" s="32"/>
      <c r="AE12" s="32"/>
      <c r="AF12" s="32"/>
      <c r="AG12" s="32"/>
      <c r="AH12" s="32"/>
      <c r="AI12" s="115"/>
      <c r="AM12" s="114" t="s">
        <v>690</v>
      </c>
      <c r="AN12" s="32"/>
      <c r="AO12" s="32"/>
      <c r="AP12" s="32"/>
      <c r="AQ12" s="32"/>
      <c r="AR12" s="32"/>
      <c r="AS12" s="32"/>
      <c r="AT12" s="32"/>
      <c r="AU12" s="32"/>
      <c r="AV12" s="115"/>
      <c r="AW12" s="114" t="s">
        <v>690</v>
      </c>
      <c r="AX12" s="32"/>
      <c r="AY12" s="32"/>
      <c r="AZ12" s="32"/>
      <c r="BA12" s="32"/>
      <c r="BB12" s="32"/>
      <c r="BC12" s="32"/>
      <c r="BD12" s="32"/>
      <c r="BE12" s="32"/>
      <c r="BF12" s="115"/>
    </row>
    <row r="13" spans="1:58" x14ac:dyDescent="0.25">
      <c r="A13">
        <v>2021</v>
      </c>
      <c r="B13">
        <v>120.319</v>
      </c>
      <c r="C13">
        <v>13.664999999999999</v>
      </c>
      <c r="D13">
        <v>0</v>
      </c>
      <c r="E13">
        <v>106.654</v>
      </c>
      <c r="P13" s="168"/>
      <c r="Q13" s="127" t="s">
        <v>695</v>
      </c>
      <c r="R13" s="127" t="s">
        <v>696</v>
      </c>
      <c r="S13" s="127" t="s">
        <v>697</v>
      </c>
      <c r="T13" s="127" t="s">
        <v>698</v>
      </c>
      <c r="U13" s="127" t="s">
        <v>699</v>
      </c>
      <c r="V13" s="32"/>
      <c r="W13" s="32"/>
      <c r="X13" s="32"/>
      <c r="Y13" s="115"/>
      <c r="Z13" s="168"/>
      <c r="AA13" s="127" t="s">
        <v>695</v>
      </c>
      <c r="AB13" s="127" t="s">
        <v>696</v>
      </c>
      <c r="AC13" s="127" t="s">
        <v>697</v>
      </c>
      <c r="AD13" s="127" t="s">
        <v>698</v>
      </c>
      <c r="AE13" s="127" t="s">
        <v>699</v>
      </c>
      <c r="AF13" s="32"/>
      <c r="AG13" s="32"/>
      <c r="AH13" s="32"/>
      <c r="AI13" s="115"/>
      <c r="AM13" s="168"/>
      <c r="AN13" s="127" t="s">
        <v>695</v>
      </c>
      <c r="AO13" s="127" t="s">
        <v>696</v>
      </c>
      <c r="AP13" s="127" t="s">
        <v>697</v>
      </c>
      <c r="AQ13" s="127" t="s">
        <v>698</v>
      </c>
      <c r="AR13" s="127" t="s">
        <v>699</v>
      </c>
      <c r="AS13" s="32"/>
      <c r="AT13" s="32"/>
      <c r="AU13" s="32"/>
      <c r="AV13" s="115"/>
      <c r="AW13" s="168"/>
      <c r="AX13" s="127" t="s">
        <v>695</v>
      </c>
      <c r="AY13" s="127" t="s">
        <v>696</v>
      </c>
      <c r="AZ13" s="127" t="s">
        <v>697</v>
      </c>
      <c r="BA13" s="127" t="s">
        <v>698</v>
      </c>
      <c r="BB13" s="127" t="s">
        <v>699</v>
      </c>
      <c r="BC13" s="32"/>
      <c r="BD13" s="32"/>
      <c r="BE13" s="32"/>
      <c r="BF13" s="115"/>
    </row>
    <row r="14" spans="1:58" x14ac:dyDescent="0.25">
      <c r="A14">
        <v>2022</v>
      </c>
      <c r="B14">
        <v>72.058000000000007</v>
      </c>
      <c r="C14">
        <v>27.45</v>
      </c>
      <c r="D14">
        <v>0.06</v>
      </c>
      <c r="E14">
        <v>44.548000000000002</v>
      </c>
      <c r="P14" s="166" t="s">
        <v>691</v>
      </c>
      <c r="Q14" s="125">
        <v>2</v>
      </c>
      <c r="R14" s="125">
        <v>669.469124530464</v>
      </c>
      <c r="S14" s="125">
        <v>334.734562265232</v>
      </c>
      <c r="T14" s="125">
        <v>9.022127104904321</v>
      </c>
      <c r="U14" s="125">
        <v>1.5538883775277649E-2</v>
      </c>
      <c r="V14" s="32"/>
      <c r="W14" s="32"/>
      <c r="X14" s="32"/>
      <c r="Y14" s="115"/>
      <c r="Z14" s="166" t="s">
        <v>691</v>
      </c>
      <c r="AA14" s="125">
        <v>1</v>
      </c>
      <c r="AB14" s="125">
        <v>643.42615481666655</v>
      </c>
      <c r="AC14" s="125">
        <v>643.42615481666655</v>
      </c>
      <c r="AD14" s="125">
        <v>18.11359757928329</v>
      </c>
      <c r="AE14" s="129">
        <v>3.7650974130029173E-3</v>
      </c>
      <c r="AF14" s="32"/>
      <c r="AG14" s="32"/>
      <c r="AH14" s="32"/>
      <c r="AI14" s="115"/>
      <c r="AM14" s="166" t="s">
        <v>691</v>
      </c>
      <c r="AN14" s="125">
        <v>3</v>
      </c>
      <c r="AO14" s="125">
        <v>5.3270314452644801E-3</v>
      </c>
      <c r="AP14" s="125">
        <v>1.7756771484214934E-3</v>
      </c>
      <c r="AQ14" s="125">
        <v>14.071043121679773</v>
      </c>
      <c r="AR14" s="129">
        <v>7.1480163837578537E-3</v>
      </c>
      <c r="AS14" s="32"/>
      <c r="AT14" s="32"/>
      <c r="AU14" s="32"/>
      <c r="AV14" s="115"/>
      <c r="AW14" s="166" t="s">
        <v>691</v>
      </c>
      <c r="AX14" s="125">
        <v>1</v>
      </c>
      <c r="AY14" s="125">
        <v>5.3119854273414591E-3</v>
      </c>
      <c r="AZ14" s="125">
        <v>5.3119854273414591E-3</v>
      </c>
      <c r="BA14" s="125">
        <v>57.558915177977347</v>
      </c>
      <c r="BB14" s="129">
        <v>1.276821682803938E-4</v>
      </c>
      <c r="BC14" s="32"/>
      <c r="BD14" s="32"/>
      <c r="BE14" s="32"/>
      <c r="BF14" s="115"/>
    </row>
    <row r="15" spans="1:58" x14ac:dyDescent="0.25">
      <c r="A15">
        <v>2023</v>
      </c>
      <c r="B15">
        <v>67.307000000000002</v>
      </c>
      <c r="C15">
        <v>32.273000000000003</v>
      </c>
      <c r="D15">
        <v>4.4999999999999998E-2</v>
      </c>
      <c r="E15">
        <v>34.988999999999997</v>
      </c>
      <c r="P15" s="166" t="s">
        <v>692</v>
      </c>
      <c r="Q15" s="125">
        <v>6</v>
      </c>
      <c r="R15" s="125">
        <v>222.60907546953595</v>
      </c>
      <c r="S15" s="125">
        <v>37.101512578255992</v>
      </c>
      <c r="T15" s="125"/>
      <c r="U15" s="125"/>
      <c r="V15" s="32"/>
      <c r="W15" s="32"/>
      <c r="X15" s="32"/>
      <c r="Y15" s="115"/>
      <c r="Z15" s="166" t="s">
        <v>692</v>
      </c>
      <c r="AA15" s="125">
        <v>7</v>
      </c>
      <c r="AB15" s="125">
        <v>248.65204518333334</v>
      </c>
      <c r="AC15" s="125">
        <v>35.521720740476191</v>
      </c>
      <c r="AD15" s="125"/>
      <c r="AE15" s="125"/>
      <c r="AF15" s="32"/>
      <c r="AG15" s="32"/>
      <c r="AH15" s="32"/>
      <c r="AI15" s="115"/>
      <c r="AM15" s="166" t="s">
        <v>692</v>
      </c>
      <c r="AN15" s="125">
        <v>5</v>
      </c>
      <c r="AO15" s="125">
        <v>6.3096855473551998E-4</v>
      </c>
      <c r="AP15" s="125">
        <v>1.2619371094710401E-4</v>
      </c>
      <c r="AQ15" s="125"/>
      <c r="AR15" s="125"/>
      <c r="AS15" s="32"/>
      <c r="AT15" s="32"/>
      <c r="AU15" s="32"/>
      <c r="AV15" s="115"/>
      <c r="AW15" s="166" t="s">
        <v>692</v>
      </c>
      <c r="AX15" s="125">
        <v>7</v>
      </c>
      <c r="AY15" s="125">
        <v>6.4601457265854047E-4</v>
      </c>
      <c r="AZ15" s="125">
        <v>9.2287796094077208E-5</v>
      </c>
      <c r="BA15" s="125"/>
      <c r="BB15" s="125"/>
      <c r="BC15" s="32"/>
      <c r="BD15" s="32"/>
      <c r="BE15" s="32"/>
      <c r="BF15" s="115"/>
    </row>
    <row r="16" spans="1:58" ht="15.75" thickBot="1" x14ac:dyDescent="0.3">
      <c r="A16">
        <v>2024</v>
      </c>
      <c r="B16">
        <v>85.998999999999995</v>
      </c>
      <c r="C16">
        <v>38.033999999999999</v>
      </c>
      <c r="D16">
        <v>5.7000000000000002E-2</v>
      </c>
      <c r="E16">
        <v>47.907999999999994</v>
      </c>
      <c r="P16" s="167" t="s">
        <v>693</v>
      </c>
      <c r="Q16" s="126">
        <v>8</v>
      </c>
      <c r="R16" s="126">
        <v>892.07819999999992</v>
      </c>
      <c r="S16" s="126"/>
      <c r="T16" s="126"/>
      <c r="U16" s="126"/>
      <c r="V16" s="32"/>
      <c r="W16" s="32"/>
      <c r="X16" s="32"/>
      <c r="Y16" s="115"/>
      <c r="Z16" s="167" t="s">
        <v>693</v>
      </c>
      <c r="AA16" s="126">
        <v>8</v>
      </c>
      <c r="AB16" s="126">
        <v>892.07819999999992</v>
      </c>
      <c r="AC16" s="126"/>
      <c r="AD16" s="126"/>
      <c r="AE16" s="126"/>
      <c r="AF16" s="32"/>
      <c r="AG16" s="32"/>
      <c r="AH16" s="32"/>
      <c r="AI16" s="115"/>
      <c r="AM16" s="167" t="s">
        <v>693</v>
      </c>
      <c r="AN16" s="126">
        <v>8</v>
      </c>
      <c r="AO16" s="126">
        <v>5.9579999999999998E-3</v>
      </c>
      <c r="AP16" s="126"/>
      <c r="AQ16" s="126"/>
      <c r="AR16" s="126"/>
      <c r="AS16" s="32"/>
      <c r="AT16" s="32"/>
      <c r="AU16" s="32"/>
      <c r="AV16" s="115"/>
      <c r="AW16" s="167" t="s">
        <v>693</v>
      </c>
      <c r="AX16" s="126">
        <v>8</v>
      </c>
      <c r="AY16" s="126">
        <v>5.9579999999999998E-3</v>
      </c>
      <c r="AZ16" s="126"/>
      <c r="BA16" s="126"/>
      <c r="BB16" s="126"/>
      <c r="BC16" s="32"/>
      <c r="BD16" s="32"/>
      <c r="BE16" s="32"/>
      <c r="BF16" s="115"/>
    </row>
    <row r="17" spans="1:58" ht="15.75" thickBot="1" x14ac:dyDescent="0.3">
      <c r="P17" s="114"/>
      <c r="Q17" s="32"/>
      <c r="R17" s="32"/>
      <c r="S17" s="32"/>
      <c r="T17" s="32"/>
      <c r="U17" s="32"/>
      <c r="V17" s="32"/>
      <c r="W17" s="32"/>
      <c r="X17" s="32"/>
      <c r="Y17" s="115"/>
      <c r="Z17" s="114"/>
      <c r="AA17" s="32"/>
      <c r="AB17" s="32"/>
      <c r="AC17" s="32"/>
      <c r="AD17" s="32"/>
      <c r="AE17" s="32"/>
      <c r="AF17" s="32"/>
      <c r="AG17" s="32"/>
      <c r="AH17" s="32"/>
      <c r="AI17" s="115"/>
      <c r="AM17" s="114"/>
      <c r="AN17" s="32"/>
      <c r="AO17" s="32"/>
      <c r="AP17" s="32"/>
      <c r="AQ17" s="32"/>
      <c r="AR17" s="32"/>
      <c r="AS17" s="32"/>
      <c r="AT17" s="32"/>
      <c r="AU17" s="32"/>
      <c r="AV17" s="115"/>
      <c r="AW17" s="114"/>
      <c r="AX17" s="32"/>
      <c r="AY17" s="32"/>
      <c r="AZ17" s="32"/>
      <c r="BA17" s="32"/>
      <c r="BB17" s="32"/>
      <c r="BC17" s="32"/>
      <c r="BD17" s="32"/>
      <c r="BE17" s="32"/>
      <c r="BF17" s="115"/>
    </row>
    <row r="18" spans="1:58" x14ac:dyDescent="0.25">
      <c r="P18" s="168"/>
      <c r="Q18" s="127" t="s">
        <v>700</v>
      </c>
      <c r="R18" s="127" t="s">
        <v>688</v>
      </c>
      <c r="S18" s="127" t="s">
        <v>701</v>
      </c>
      <c r="T18" s="127" t="s">
        <v>702</v>
      </c>
      <c r="U18" s="127" t="s">
        <v>703</v>
      </c>
      <c r="V18" s="127" t="s">
        <v>704</v>
      </c>
      <c r="W18" s="127" t="s">
        <v>705</v>
      </c>
      <c r="X18" s="127" t="s">
        <v>706</v>
      </c>
      <c r="Y18" s="115"/>
      <c r="Z18" s="168"/>
      <c r="AA18" s="127" t="s">
        <v>700</v>
      </c>
      <c r="AB18" s="127" t="s">
        <v>688</v>
      </c>
      <c r="AC18" s="127" t="s">
        <v>701</v>
      </c>
      <c r="AD18" s="127" t="s">
        <v>702</v>
      </c>
      <c r="AE18" s="127" t="s">
        <v>703</v>
      </c>
      <c r="AF18" s="127" t="s">
        <v>704</v>
      </c>
      <c r="AG18" s="127" t="s">
        <v>705</v>
      </c>
      <c r="AH18" s="127" t="s">
        <v>706</v>
      </c>
      <c r="AI18" s="115"/>
      <c r="AM18" s="168"/>
      <c r="AN18" s="127" t="s">
        <v>700</v>
      </c>
      <c r="AO18" s="127" t="s">
        <v>688</v>
      </c>
      <c r="AP18" s="127" t="s">
        <v>701</v>
      </c>
      <c r="AQ18" s="127" t="s">
        <v>702</v>
      </c>
      <c r="AR18" s="127" t="s">
        <v>703</v>
      </c>
      <c r="AS18" s="127" t="s">
        <v>704</v>
      </c>
      <c r="AT18" s="127" t="s">
        <v>705</v>
      </c>
      <c r="AU18" s="127" t="s">
        <v>706</v>
      </c>
      <c r="AV18" s="115"/>
      <c r="AW18" s="168"/>
      <c r="AX18" s="127" t="s">
        <v>700</v>
      </c>
      <c r="AY18" s="127" t="s">
        <v>688</v>
      </c>
      <c r="AZ18" s="127" t="s">
        <v>701</v>
      </c>
      <c r="BA18" s="127" t="s">
        <v>702</v>
      </c>
      <c r="BB18" s="127" t="s">
        <v>703</v>
      </c>
      <c r="BC18" s="127" t="s">
        <v>704</v>
      </c>
      <c r="BD18" s="127" t="s">
        <v>705</v>
      </c>
      <c r="BE18" s="127" t="s">
        <v>706</v>
      </c>
      <c r="BF18" s="115"/>
    </row>
    <row r="19" spans="1:58" x14ac:dyDescent="0.25">
      <c r="P19" s="166" t="s">
        <v>694</v>
      </c>
      <c r="Q19" s="125">
        <v>-7975.5206631332067</v>
      </c>
      <c r="R19" s="125">
        <v>2287.9933495330456</v>
      </c>
      <c r="S19" s="125">
        <v>-3.4858146177570504</v>
      </c>
      <c r="T19" s="129">
        <v>1.3049705700997043E-2</v>
      </c>
      <c r="U19" s="125">
        <v>-13574.038705446492</v>
      </c>
      <c r="V19" s="125">
        <v>-2377.0026208199224</v>
      </c>
      <c r="W19" s="125">
        <v>-16458.09131979676</v>
      </c>
      <c r="X19" s="125">
        <v>507.04999353034782</v>
      </c>
      <c r="Y19" s="115"/>
      <c r="Z19" s="166" t="s">
        <v>694</v>
      </c>
      <c r="AA19" s="125">
        <v>-6595.8513333333312</v>
      </c>
      <c r="AB19" s="125">
        <v>1554.2579479230092</v>
      </c>
      <c r="AC19" s="125">
        <v>-4.2437301621314019</v>
      </c>
      <c r="AD19" s="129">
        <v>3.8226352136467366E-3</v>
      </c>
      <c r="AE19" s="125">
        <v>-10271.087370222915</v>
      </c>
      <c r="AF19" s="125">
        <v>-2920.6152964437479</v>
      </c>
      <c r="AG19" s="125">
        <v>-12034.951061864158</v>
      </c>
      <c r="AH19" s="125">
        <v>-1156.7516048025054</v>
      </c>
      <c r="AI19" s="115"/>
      <c r="AM19" s="166" t="s">
        <v>694</v>
      </c>
      <c r="AN19" s="125">
        <v>-2.0766143098635568</v>
      </c>
      <c r="AO19" s="125">
        <v>7.339243640117469</v>
      </c>
      <c r="AP19" s="125">
        <v>-0.28294663751349713</v>
      </c>
      <c r="AQ19" s="177">
        <v>0.78855787113776521</v>
      </c>
      <c r="AR19" s="125">
        <v>-20.942740698458874</v>
      </c>
      <c r="AS19" s="125">
        <v>16.789512078731757</v>
      </c>
      <c r="AT19" s="125">
        <v>-31.66949405796554</v>
      </c>
      <c r="AU19" s="125">
        <v>27.516265438238424</v>
      </c>
      <c r="AV19" s="115"/>
      <c r="AW19" s="166" t="s">
        <v>694</v>
      </c>
      <c r="AX19" s="125">
        <v>-2.8550234890842539E-2</v>
      </c>
      <c r="AY19" s="125">
        <v>6.9210741309517869E-3</v>
      </c>
      <c r="AZ19" s="125">
        <v>-4.1251161814844348</v>
      </c>
      <c r="BA19" s="129">
        <v>4.431035041460453E-3</v>
      </c>
      <c r="BB19" s="125">
        <v>-4.4915974627962596E-2</v>
      </c>
      <c r="BC19" s="125">
        <v>-1.2184495153722486E-2</v>
      </c>
      <c r="BD19" s="125">
        <v>-5.2770418211832912E-2</v>
      </c>
      <c r="BE19" s="125">
        <v>-4.3300515698521704E-3</v>
      </c>
      <c r="BF19" s="115"/>
    </row>
    <row r="20" spans="1:58" ht="15.75" thickBot="1" x14ac:dyDescent="0.3">
      <c r="P20" s="166" t="s">
        <v>718</v>
      </c>
      <c r="Q20" s="125">
        <v>3.9599869279119995</v>
      </c>
      <c r="R20" s="125">
        <v>1.1346173963479642</v>
      </c>
      <c r="S20" s="125">
        <v>3.4901517821409742</v>
      </c>
      <c r="T20" s="129">
        <v>1.2980959019625397E-2</v>
      </c>
      <c r="U20" s="125">
        <v>1.1836781742729166</v>
      </c>
      <c r="V20" s="125">
        <v>6.7362956815510824</v>
      </c>
      <c r="W20" s="125">
        <v>-0.24652540079100671</v>
      </c>
      <c r="X20" s="125">
        <v>8.1664992566150048</v>
      </c>
      <c r="Y20" s="115"/>
      <c r="Z20" s="167" t="s">
        <v>718</v>
      </c>
      <c r="AA20" s="126">
        <v>3.2747166666666656</v>
      </c>
      <c r="AB20" s="126">
        <v>0.76943399912399002</v>
      </c>
      <c r="AC20" s="126">
        <v>4.2560072344021327</v>
      </c>
      <c r="AD20" s="133">
        <v>3.7650974130029173E-3</v>
      </c>
      <c r="AE20" s="126">
        <v>1.4552943723380571</v>
      </c>
      <c r="AF20" s="126">
        <v>5.0941389609952736</v>
      </c>
      <c r="AG20" s="126">
        <v>0.58209523831866727</v>
      </c>
      <c r="AH20" s="126">
        <v>5.9673380950146644</v>
      </c>
      <c r="AI20" s="115"/>
      <c r="AM20" s="166" t="s">
        <v>718</v>
      </c>
      <c r="AN20" s="125">
        <v>1.0168821014894113E-3</v>
      </c>
      <c r="AO20" s="125">
        <v>3.6425678397086522E-3</v>
      </c>
      <c r="AP20" s="125">
        <v>0.27916627671394195</v>
      </c>
      <c r="AQ20" s="177">
        <v>0.79129612731205479</v>
      </c>
      <c r="AR20" s="125">
        <v>-8.3466366223386625E-3</v>
      </c>
      <c r="AS20" s="125">
        <v>1.0380400825317484E-2</v>
      </c>
      <c r="AT20" s="125">
        <v>-1.3670472255515756E-2</v>
      </c>
      <c r="AU20" s="125">
        <v>1.5704236458494579E-2</v>
      </c>
      <c r="AV20" s="115"/>
      <c r="AW20" s="167" t="s">
        <v>728</v>
      </c>
      <c r="AX20" s="126">
        <v>2.4402087171281625E-3</v>
      </c>
      <c r="AY20" s="126">
        <v>3.2164045970001589E-4</v>
      </c>
      <c r="AZ20" s="126">
        <v>7.5867592012648837</v>
      </c>
      <c r="BA20" s="133">
        <v>1.2768216828039369E-4</v>
      </c>
      <c r="BB20" s="126">
        <v>1.6796498858280531E-3</v>
      </c>
      <c r="BC20" s="126">
        <v>3.2007675484282717E-3</v>
      </c>
      <c r="BD20" s="126">
        <v>1.314633300655822E-3</v>
      </c>
      <c r="BE20" s="126">
        <v>3.5657841336005029E-3</v>
      </c>
      <c r="BF20" s="115"/>
    </row>
    <row r="21" spans="1:58" ht="15.75" thickBot="1" x14ac:dyDescent="0.3">
      <c r="P21" s="167" t="s">
        <v>49</v>
      </c>
      <c r="Q21" s="126">
        <v>-8.0935361250046689E-2</v>
      </c>
      <c r="R21" s="126">
        <v>9.6602610900092006E-2</v>
      </c>
      <c r="S21" s="126">
        <v>-0.83781753408043347</v>
      </c>
      <c r="T21" s="175">
        <v>0.43423172728744175</v>
      </c>
      <c r="U21" s="126">
        <v>-0.31731343471302809</v>
      </c>
      <c r="V21" s="126">
        <v>0.15544271221293468</v>
      </c>
      <c r="W21" s="126">
        <v>-0.43908258783418236</v>
      </c>
      <c r="X21" s="126">
        <v>0.27721186533408898</v>
      </c>
      <c r="Y21" s="170"/>
      <c r="Z21" s="116"/>
      <c r="AA21" s="169"/>
      <c r="AB21" s="169"/>
      <c r="AC21" s="169"/>
      <c r="AD21" s="169"/>
      <c r="AE21" s="169"/>
      <c r="AF21" s="169"/>
      <c r="AG21" s="169"/>
      <c r="AH21" s="169"/>
      <c r="AI21" s="170"/>
      <c r="AM21" s="166" t="s">
        <v>49</v>
      </c>
      <c r="AN21" s="125">
        <v>-6.3377122328864161E-5</v>
      </c>
      <c r="AO21" s="125">
        <v>1.8829400688373895E-4</v>
      </c>
      <c r="AP21" s="125">
        <v>-0.33658597731151368</v>
      </c>
      <c r="AQ21" s="177">
        <v>0.7500961750604338</v>
      </c>
      <c r="AR21" s="125">
        <v>-5.4740227618338281E-4</v>
      </c>
      <c r="AS21" s="125">
        <v>4.2064803152565446E-4</v>
      </c>
      <c r="AT21" s="125">
        <v>-8.226054810306319E-4</v>
      </c>
      <c r="AU21" s="125">
        <v>6.9585123637290361E-4</v>
      </c>
      <c r="AV21" s="115"/>
      <c r="AW21" s="114"/>
      <c r="AX21" s="32"/>
      <c r="AY21" s="32"/>
      <c r="AZ21" s="32"/>
      <c r="BA21" s="32"/>
      <c r="BB21" s="32"/>
      <c r="BC21" s="32"/>
      <c r="BD21" s="32"/>
      <c r="BE21" s="32"/>
      <c r="BF21" s="115"/>
    </row>
    <row r="22" spans="1:58" ht="15.75" thickBot="1" x14ac:dyDescent="0.3">
      <c r="AM22" s="167" t="s">
        <v>728</v>
      </c>
      <c r="AN22" s="126">
        <v>2.3115662726866386E-3</v>
      </c>
      <c r="AO22" s="126">
        <v>7.52917554364452E-4</v>
      </c>
      <c r="AP22" s="126">
        <v>3.0701452759165155</v>
      </c>
      <c r="AQ22" s="133">
        <v>2.7779212312452877E-2</v>
      </c>
      <c r="AR22" s="126">
        <v>3.7613008370566059E-4</v>
      </c>
      <c r="AS22" s="126">
        <v>4.2470024616676171E-3</v>
      </c>
      <c r="AT22" s="126">
        <v>-7.2430496133954816E-4</v>
      </c>
      <c r="AU22" s="126">
        <v>5.3474375067128254E-3</v>
      </c>
      <c r="AV22" s="170"/>
      <c r="AW22" s="116"/>
      <c r="AX22" s="169"/>
      <c r="AY22" s="169"/>
      <c r="AZ22" s="169"/>
      <c r="BA22" s="169"/>
      <c r="BB22" s="169"/>
      <c r="BC22" s="169"/>
      <c r="BD22" s="169"/>
      <c r="BE22" s="169"/>
      <c r="BF22" s="170"/>
    </row>
    <row r="23" spans="1:58" x14ac:dyDescent="0.25">
      <c r="A23" s="29" t="s">
        <v>745</v>
      </c>
      <c r="AM23" s="178"/>
      <c r="AN23" s="163"/>
      <c r="AO23" s="163"/>
      <c r="AP23" s="163"/>
      <c r="AQ23" s="163"/>
      <c r="AR23" s="163"/>
      <c r="AS23" s="163"/>
      <c r="AT23" s="163"/>
      <c r="AU23" s="163"/>
      <c r="AV23" s="113"/>
    </row>
    <row r="24" spans="1:58" x14ac:dyDescent="0.25">
      <c r="A24" t="s">
        <v>718</v>
      </c>
      <c r="B24">
        <v>2025</v>
      </c>
      <c r="C24">
        <v>2026</v>
      </c>
      <c r="D24">
        <v>2027</v>
      </c>
      <c r="E24">
        <v>2028</v>
      </c>
      <c r="F24">
        <v>2029</v>
      </c>
      <c r="G24">
        <v>2030</v>
      </c>
      <c r="H24">
        <v>2031</v>
      </c>
      <c r="I24">
        <v>2032</v>
      </c>
      <c r="J24">
        <v>2033</v>
      </c>
      <c r="K24">
        <v>2034</v>
      </c>
      <c r="AM24" s="164" t="s">
        <v>748</v>
      </c>
      <c r="AN24" s="32"/>
      <c r="AO24" s="32"/>
      <c r="AP24" s="32"/>
      <c r="AQ24" s="32"/>
      <c r="AR24" s="32"/>
      <c r="AS24" s="32"/>
      <c r="AT24" s="32"/>
      <c r="AU24" s="32"/>
      <c r="AV24" s="115"/>
    </row>
    <row r="25" spans="1:58" x14ac:dyDescent="0.25">
      <c r="A25" t="s">
        <v>728</v>
      </c>
      <c r="B25" s="50">
        <f>$AA$19+($AA$20*B24)</f>
        <v>35.449916666666468</v>
      </c>
      <c r="C25" s="50">
        <f t="shared" ref="C25:J25" si="0">$AA$19+($AA$20*C24)</f>
        <v>38.724633333333259</v>
      </c>
      <c r="D25" s="50">
        <f t="shared" si="0"/>
        <v>41.999350000000049</v>
      </c>
      <c r="E25" s="50">
        <f t="shared" si="0"/>
        <v>45.27406666666684</v>
      </c>
      <c r="F25" s="50">
        <f t="shared" si="0"/>
        <v>48.548783333333631</v>
      </c>
      <c r="G25" s="50">
        <f t="shared" si="0"/>
        <v>51.823499999999513</v>
      </c>
      <c r="H25" s="50">
        <f t="shared" si="0"/>
        <v>55.098216666666303</v>
      </c>
      <c r="I25" s="50">
        <f t="shared" si="0"/>
        <v>58.372933333333094</v>
      </c>
      <c r="J25" s="50">
        <f t="shared" si="0"/>
        <v>61.647649999999885</v>
      </c>
      <c r="K25" s="50">
        <f>$AA$19+($AA$20*K24)</f>
        <v>64.922366666666676</v>
      </c>
      <c r="L25" s="50"/>
      <c r="M25" s="50"/>
      <c r="N25" s="50"/>
      <c r="O25" s="50"/>
      <c r="AM25" s="114" t="s">
        <v>740</v>
      </c>
      <c r="AN25" s="32"/>
      <c r="AO25" s="32"/>
      <c r="AP25" s="32"/>
      <c r="AQ25" s="32"/>
      <c r="AR25" s="32"/>
      <c r="AS25" s="32"/>
      <c r="AT25" s="32"/>
      <c r="AU25" s="32"/>
      <c r="AV25" s="115"/>
    </row>
    <row r="26" spans="1:58" ht="15.75" thickBot="1" x14ac:dyDescent="0.3">
      <c r="A26" t="s">
        <v>163</v>
      </c>
      <c r="B26" s="50">
        <f>$AX$19+($AX$20*B25)</f>
        <v>5.7954960780623906E-2</v>
      </c>
      <c r="C26" s="50">
        <f t="shared" ref="C26:K26" si="1">$AX$19+($AX$20*C25)</f>
        <v>6.5945952936749097E-2</v>
      </c>
      <c r="D26" s="50">
        <f t="shared" si="1"/>
        <v>7.3936945092874268E-2</v>
      </c>
      <c r="E26" s="50">
        <f t="shared" si="1"/>
        <v>8.1927937248999466E-2</v>
      </c>
      <c r="F26" s="50">
        <f t="shared" si="1"/>
        <v>8.9918929405124637E-2</v>
      </c>
      <c r="G26" s="50">
        <f t="shared" si="1"/>
        <v>9.7909921561247587E-2</v>
      </c>
      <c r="H26" s="50">
        <f t="shared" si="1"/>
        <v>0.10590091371737279</v>
      </c>
      <c r="I26" s="50">
        <f t="shared" si="1"/>
        <v>0.11389190587349796</v>
      </c>
      <c r="J26" s="50">
        <f t="shared" si="1"/>
        <v>0.12188289802962315</v>
      </c>
      <c r="K26" s="50">
        <f t="shared" si="1"/>
        <v>0.12987389018574833</v>
      </c>
      <c r="AM26" s="114"/>
      <c r="AN26" s="32"/>
      <c r="AO26" s="32"/>
      <c r="AP26" s="32"/>
      <c r="AQ26" s="32"/>
      <c r="AR26" s="32"/>
      <c r="AS26" s="32"/>
      <c r="AT26" s="32"/>
      <c r="AU26" s="32"/>
      <c r="AV26" s="115"/>
    </row>
    <row r="27" spans="1:58" x14ac:dyDescent="0.25">
      <c r="AM27" s="165" t="s">
        <v>684</v>
      </c>
      <c r="AN27" s="128"/>
      <c r="AO27" s="32"/>
      <c r="AP27" s="32"/>
      <c r="AQ27" s="32"/>
      <c r="AR27" s="32"/>
      <c r="AS27" s="32"/>
      <c r="AT27" s="32"/>
      <c r="AU27" s="32"/>
      <c r="AV27" s="115"/>
    </row>
    <row r="28" spans="1:58" x14ac:dyDescent="0.25">
      <c r="AM28" s="166" t="s">
        <v>685</v>
      </c>
      <c r="AN28" s="125">
        <v>0.94469390498353356</v>
      </c>
      <c r="AO28" s="32"/>
      <c r="AP28" s="32"/>
      <c r="AQ28" s="32"/>
      <c r="AR28" s="32"/>
      <c r="AS28" s="32"/>
      <c r="AT28" s="32"/>
      <c r="AU28" s="32"/>
      <c r="AV28" s="115"/>
    </row>
    <row r="29" spans="1:58" x14ac:dyDescent="0.25">
      <c r="AM29" s="166" t="s">
        <v>686</v>
      </c>
      <c r="AN29" s="125">
        <v>0.89244657411303763</v>
      </c>
      <c r="AO29" s="32"/>
      <c r="AP29" s="32"/>
      <c r="AQ29" s="32"/>
      <c r="AR29" s="32"/>
      <c r="AS29" s="32"/>
      <c r="AT29" s="32"/>
      <c r="AU29" s="32"/>
      <c r="AV29" s="115"/>
    </row>
    <row r="30" spans="1:58" x14ac:dyDescent="0.25">
      <c r="AM30" s="166" t="s">
        <v>687</v>
      </c>
      <c r="AN30" s="125">
        <v>0.85659543215071687</v>
      </c>
      <c r="AO30" s="32"/>
      <c r="AP30" s="32"/>
      <c r="AQ30" s="32"/>
      <c r="AR30" s="32"/>
      <c r="AS30" s="32"/>
      <c r="AT30" s="32"/>
      <c r="AU30" s="32"/>
      <c r="AV30" s="115"/>
    </row>
    <row r="31" spans="1:58" x14ac:dyDescent="0.25">
      <c r="AM31" s="166" t="s">
        <v>688</v>
      </c>
      <c r="AN31" s="125">
        <v>1.0334435248515211E-2</v>
      </c>
      <c r="AO31" s="32"/>
      <c r="AP31" s="32"/>
      <c r="AQ31" s="32"/>
      <c r="AR31" s="32"/>
      <c r="AS31" s="32"/>
      <c r="AT31" s="32"/>
      <c r="AU31" s="32"/>
      <c r="AV31" s="115"/>
    </row>
    <row r="32" spans="1:58" ht="15.75" thickBot="1" x14ac:dyDescent="0.3">
      <c r="AM32" s="167" t="s">
        <v>689</v>
      </c>
      <c r="AN32" s="126">
        <v>9</v>
      </c>
      <c r="AO32" s="32"/>
      <c r="AP32" s="32"/>
      <c r="AQ32" s="32"/>
      <c r="AR32" s="32"/>
      <c r="AS32" s="32"/>
      <c r="AT32" s="32"/>
      <c r="AU32" s="32"/>
      <c r="AV32" s="115"/>
    </row>
    <row r="33" spans="39:48" x14ac:dyDescent="0.25">
      <c r="AM33" s="114"/>
      <c r="AN33" s="32"/>
      <c r="AO33" s="32"/>
      <c r="AP33" s="32"/>
      <c r="AQ33" s="32"/>
      <c r="AR33" s="32"/>
      <c r="AS33" s="32"/>
      <c r="AT33" s="32"/>
      <c r="AU33" s="32"/>
      <c r="AV33" s="115"/>
    </row>
    <row r="34" spans="39:48" ht="15.75" thickBot="1" x14ac:dyDescent="0.3">
      <c r="AM34" s="114" t="s">
        <v>690</v>
      </c>
      <c r="AN34" s="32"/>
      <c r="AO34" s="32"/>
      <c r="AP34" s="32"/>
      <c r="AQ34" s="32"/>
      <c r="AR34" s="32"/>
      <c r="AS34" s="32"/>
      <c r="AT34" s="32"/>
      <c r="AU34" s="32"/>
      <c r="AV34" s="115"/>
    </row>
    <row r="35" spans="39:48" x14ac:dyDescent="0.25">
      <c r="AM35" s="168"/>
      <c r="AN35" s="127" t="s">
        <v>695</v>
      </c>
      <c r="AO35" s="127" t="s">
        <v>696</v>
      </c>
      <c r="AP35" s="127" t="s">
        <v>697</v>
      </c>
      <c r="AQ35" s="127" t="s">
        <v>698</v>
      </c>
      <c r="AR35" s="127" t="s">
        <v>699</v>
      </c>
      <c r="AS35" s="32"/>
      <c r="AT35" s="32"/>
      <c r="AU35" s="32"/>
      <c r="AV35" s="115"/>
    </row>
    <row r="36" spans="39:48" x14ac:dyDescent="0.25">
      <c r="AM36" s="166" t="s">
        <v>691</v>
      </c>
      <c r="AN36" s="125">
        <v>2</v>
      </c>
      <c r="AO36" s="125">
        <v>5.3171966885654778E-3</v>
      </c>
      <c r="AP36" s="125">
        <v>2.6585983442827389E-3</v>
      </c>
      <c r="AQ36" s="125">
        <v>24.893114284922646</v>
      </c>
      <c r="AR36" s="129">
        <v>1.2441500043910638E-3</v>
      </c>
      <c r="AS36" s="32"/>
      <c r="AT36" s="32"/>
      <c r="AU36" s="32"/>
      <c r="AV36" s="115"/>
    </row>
    <row r="37" spans="39:48" x14ac:dyDescent="0.25">
      <c r="AM37" s="166" t="s">
        <v>692</v>
      </c>
      <c r="AN37" s="125">
        <v>6</v>
      </c>
      <c r="AO37" s="125">
        <v>6.4080331143452195E-4</v>
      </c>
      <c r="AP37" s="125">
        <v>1.0680055190575366E-4</v>
      </c>
      <c r="AQ37" s="125"/>
      <c r="AR37" s="125"/>
      <c r="AS37" s="32"/>
      <c r="AT37" s="32"/>
      <c r="AU37" s="32"/>
      <c r="AV37" s="115"/>
    </row>
    <row r="38" spans="39:48" ht="15.75" thickBot="1" x14ac:dyDescent="0.3">
      <c r="AM38" s="167" t="s">
        <v>693</v>
      </c>
      <c r="AN38" s="126">
        <v>8</v>
      </c>
      <c r="AO38" s="126">
        <v>5.9579999999999998E-3</v>
      </c>
      <c r="AP38" s="126"/>
      <c r="AQ38" s="126"/>
      <c r="AR38" s="126"/>
      <c r="AS38" s="32"/>
      <c r="AT38" s="32"/>
      <c r="AU38" s="32"/>
      <c r="AV38" s="115"/>
    </row>
    <row r="39" spans="39:48" ht="15.75" thickBot="1" x14ac:dyDescent="0.3">
      <c r="AM39" s="114"/>
      <c r="AN39" s="32"/>
      <c r="AO39" s="32"/>
      <c r="AP39" s="32"/>
      <c r="AQ39" s="32"/>
      <c r="AR39" s="32"/>
      <c r="AS39" s="32"/>
      <c r="AT39" s="32"/>
      <c r="AU39" s="32"/>
      <c r="AV39" s="115"/>
    </row>
    <row r="40" spans="39:48" x14ac:dyDescent="0.25">
      <c r="AM40" s="168"/>
      <c r="AN40" s="127" t="s">
        <v>700</v>
      </c>
      <c r="AO40" s="127" t="s">
        <v>688</v>
      </c>
      <c r="AP40" s="127" t="s">
        <v>701</v>
      </c>
      <c r="AQ40" s="127" t="s">
        <v>702</v>
      </c>
      <c r="AR40" s="127" t="s">
        <v>703</v>
      </c>
      <c r="AS40" s="127" t="s">
        <v>704</v>
      </c>
      <c r="AT40" s="127" t="s">
        <v>705</v>
      </c>
      <c r="AU40" s="127" t="s">
        <v>706</v>
      </c>
      <c r="AV40" s="115"/>
    </row>
    <row r="41" spans="39:48" x14ac:dyDescent="0.25">
      <c r="AM41" s="166" t="s">
        <v>694</v>
      </c>
      <c r="AN41" s="125">
        <v>-2.7746532167409473E-2</v>
      </c>
      <c r="AO41" s="125">
        <v>8.2868555636216416E-3</v>
      </c>
      <c r="AP41" s="125">
        <v>-3.3482582089657273</v>
      </c>
      <c r="AQ41" s="129">
        <v>1.5452686971823008E-2</v>
      </c>
      <c r="AR41" s="125">
        <v>-4.8023737254761896E-2</v>
      </c>
      <c r="AS41" s="125">
        <v>-7.4693270800570491E-3</v>
      </c>
      <c r="AT41" s="125">
        <v>-5.8469452692651497E-2</v>
      </c>
      <c r="AU41" s="125">
        <v>2.9763883578325517E-3</v>
      </c>
      <c r="AV41" s="115"/>
    </row>
    <row r="42" spans="39:48" x14ac:dyDescent="0.25">
      <c r="AM42" s="166" t="s">
        <v>49</v>
      </c>
      <c r="AN42" s="125">
        <v>-2.8855598756340913E-5</v>
      </c>
      <c r="AO42" s="125">
        <v>1.306307490409665E-4</v>
      </c>
      <c r="AP42" s="125">
        <v>-0.22089438335297032</v>
      </c>
      <c r="AQ42" s="177">
        <v>0.83249979512177008</v>
      </c>
      <c r="AR42" s="125">
        <v>-3.4849752670862623E-4</v>
      </c>
      <c r="AS42" s="125">
        <v>2.9078632919594445E-4</v>
      </c>
      <c r="AT42" s="125">
        <v>-5.1315969819746513E-4</v>
      </c>
      <c r="AU42" s="125">
        <v>4.5544850068478335E-4</v>
      </c>
      <c r="AV42" s="115"/>
    </row>
    <row r="43" spans="39:48" ht="15.75" thickBot="1" x14ac:dyDescent="0.3">
      <c r="AM43" s="167" t="s">
        <v>728</v>
      </c>
      <c r="AN43" s="126">
        <v>2.4836120047468124E-3</v>
      </c>
      <c r="AO43" s="126">
        <v>3.9790569292694639E-4</v>
      </c>
      <c r="AP43" s="126">
        <v>6.241710156187164</v>
      </c>
      <c r="AQ43" s="133">
        <v>7.8322756243850479E-4</v>
      </c>
      <c r="AR43" s="126">
        <v>1.5099718490858161E-3</v>
      </c>
      <c r="AS43" s="126">
        <v>3.4572521604078086E-3</v>
      </c>
      <c r="AT43" s="126">
        <v>1.0084052889447982E-3</v>
      </c>
      <c r="AU43" s="126">
        <v>3.9588187205488266E-3</v>
      </c>
      <c r="AV43" s="170"/>
    </row>
  </sheetData>
  <mergeCells count="4">
    <mergeCell ref="AZ4:BE7"/>
    <mergeCell ref="AC3:AH6"/>
    <mergeCell ref="P1:AI1"/>
    <mergeCell ref="AM1:BF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EB76-41D3-4E26-BCDD-4ABB322F187B}">
  <sheetPr>
    <tabColor theme="3" tint="0.79998168889431442"/>
  </sheetPr>
  <dimension ref="A1:CZ60"/>
  <sheetViews>
    <sheetView showGridLines="0" zoomScale="85" zoomScaleNormal="85" workbookViewId="0">
      <selection activeCell="B18" sqref="B18"/>
    </sheetView>
  </sheetViews>
  <sheetFormatPr defaultRowHeight="15" outlineLevelCol="1" x14ac:dyDescent="0.25"/>
  <cols>
    <col min="1" max="1" width="15.7109375" customWidth="1"/>
    <col min="10" max="10" width="12.28515625" bestFit="1" customWidth="1"/>
    <col min="11" max="15" width="8.7109375" customWidth="1"/>
    <col min="16" max="16" width="27.5703125" customWidth="1" outlineLevel="1"/>
    <col min="17" max="35" width="9.140625" customWidth="1" outlineLevel="1"/>
    <col min="40" max="40" width="25.140625" customWidth="1" outlineLevel="1"/>
    <col min="41" max="49" width="9.140625" customWidth="1" outlineLevel="1"/>
    <col min="50" max="50" width="29.140625" customWidth="1" outlineLevel="1"/>
    <col min="51" max="59" width="9.140625" customWidth="1" outlineLevel="1"/>
    <col min="62" max="62" width="25.140625" customWidth="1" outlineLevel="1"/>
    <col min="63" max="70" width="9.140625" customWidth="1" outlineLevel="1"/>
    <col min="71" max="71" width="29.28515625" customWidth="1" outlineLevel="1"/>
    <col min="72" max="81" width="9.140625" customWidth="1" outlineLevel="1"/>
    <col min="85" max="85" width="40.42578125" customWidth="1" outlineLevel="1"/>
    <col min="86" max="93" width="9.140625" customWidth="1" outlineLevel="1"/>
    <col min="94" max="94" width="36.5703125" customWidth="1" outlineLevel="1"/>
    <col min="95" max="104" width="9.140625" customWidth="1" outlineLevel="1"/>
  </cols>
  <sheetData>
    <row r="1" spans="1:104" ht="15.75" thickBot="1" x14ac:dyDescent="0.3">
      <c r="A1" s="3" t="s">
        <v>718</v>
      </c>
      <c r="B1" s="162">
        <v>2016</v>
      </c>
      <c r="C1" s="162">
        <v>2017</v>
      </c>
      <c r="D1" s="162">
        <v>2018</v>
      </c>
      <c r="E1" s="162">
        <v>2019</v>
      </c>
      <c r="F1" s="162">
        <v>2020</v>
      </c>
      <c r="G1" s="162">
        <v>2021</v>
      </c>
      <c r="H1" s="162">
        <v>2022</v>
      </c>
      <c r="I1" s="162">
        <v>2023</v>
      </c>
      <c r="J1" s="162">
        <v>2024</v>
      </c>
      <c r="P1" s="284" t="s">
        <v>730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6"/>
      <c r="AN1" s="284" t="s">
        <v>731</v>
      </c>
      <c r="AO1" s="285"/>
      <c r="AP1" s="285"/>
      <c r="AQ1" s="285"/>
      <c r="AR1" s="285"/>
      <c r="AS1" s="285"/>
      <c r="AT1" s="285"/>
      <c r="AU1" s="285"/>
      <c r="AV1" s="285"/>
      <c r="AW1" s="285"/>
      <c r="AX1" s="285"/>
      <c r="AY1" s="285"/>
      <c r="AZ1" s="285"/>
      <c r="BA1" s="285"/>
      <c r="BB1" s="285"/>
      <c r="BC1" s="285"/>
      <c r="BD1" s="285"/>
      <c r="BE1" s="285"/>
      <c r="BF1" s="285"/>
      <c r="BG1" s="286"/>
      <c r="BJ1" s="288" t="s">
        <v>732</v>
      </c>
      <c r="BK1" s="289"/>
      <c r="BL1" s="289"/>
      <c r="BM1" s="289"/>
      <c r="BN1" s="289"/>
      <c r="BO1" s="289"/>
      <c r="BP1" s="289"/>
      <c r="BQ1" s="289"/>
      <c r="BR1" s="289"/>
      <c r="BS1" s="285"/>
      <c r="BT1" s="285"/>
      <c r="BU1" s="285"/>
      <c r="BV1" s="285"/>
      <c r="BW1" s="285"/>
      <c r="BX1" s="285"/>
      <c r="BY1" s="285"/>
      <c r="BZ1" s="285"/>
      <c r="CA1" s="285"/>
      <c r="CB1" s="285"/>
      <c r="CC1" s="286"/>
      <c r="CG1" s="284" t="s">
        <v>729</v>
      </c>
      <c r="CH1" s="285"/>
      <c r="CI1" s="285"/>
      <c r="CJ1" s="285"/>
      <c r="CK1" s="285"/>
      <c r="CL1" s="285"/>
      <c r="CM1" s="285"/>
      <c r="CN1" s="285"/>
      <c r="CO1" s="285"/>
      <c r="CP1" s="285"/>
      <c r="CQ1" s="285"/>
      <c r="CR1" s="285"/>
      <c r="CS1" s="285"/>
      <c r="CT1" s="285"/>
      <c r="CU1" s="285"/>
      <c r="CV1" s="285"/>
      <c r="CW1" s="285"/>
      <c r="CX1" s="285"/>
      <c r="CY1" s="285"/>
      <c r="CZ1" s="286"/>
    </row>
    <row r="2" spans="1:104" x14ac:dyDescent="0.25">
      <c r="A2" s="6" t="s">
        <v>49</v>
      </c>
      <c r="B2" s="160">
        <v>31.353000000000002</v>
      </c>
      <c r="C2" s="160">
        <v>23.646000000000001</v>
      </c>
      <c r="D2" s="160">
        <v>33.683999999999997</v>
      </c>
      <c r="E2" s="160">
        <v>38.621000000000002</v>
      </c>
      <c r="F2" s="160">
        <v>35.93</v>
      </c>
      <c r="G2" s="160">
        <v>120.319</v>
      </c>
      <c r="H2" s="160">
        <v>72.058000000000007</v>
      </c>
      <c r="I2" s="160">
        <v>67.307000000000002</v>
      </c>
      <c r="J2" s="160">
        <v>85.998999999999995</v>
      </c>
      <c r="P2" s="171" t="s">
        <v>742</v>
      </c>
      <c r="Q2" s="163"/>
      <c r="R2" s="163"/>
      <c r="S2" s="163"/>
      <c r="T2" s="163"/>
      <c r="U2" s="163"/>
      <c r="V2" s="163"/>
      <c r="W2" s="163"/>
      <c r="X2" s="163"/>
      <c r="Y2" s="113"/>
      <c r="Z2" s="171" t="s">
        <v>749</v>
      </c>
      <c r="AA2" s="163"/>
      <c r="AB2" s="176"/>
      <c r="AC2" s="163"/>
      <c r="AD2" s="163"/>
      <c r="AE2" s="163"/>
      <c r="AF2" s="163"/>
      <c r="AG2" s="163"/>
      <c r="AH2" s="163"/>
      <c r="AI2" s="113"/>
      <c r="AN2" s="171" t="s">
        <v>742</v>
      </c>
      <c r="AO2" s="163"/>
      <c r="AP2" s="163"/>
      <c r="AQ2" s="163"/>
      <c r="AR2" s="163"/>
      <c r="AS2" s="163"/>
      <c r="AT2" s="163"/>
      <c r="AU2" s="163"/>
      <c r="AV2" s="163"/>
      <c r="AW2" s="113"/>
      <c r="AX2" s="171" t="s">
        <v>752</v>
      </c>
      <c r="AY2" s="163"/>
      <c r="AZ2" s="163"/>
      <c r="BA2" s="163"/>
      <c r="BB2" s="163"/>
      <c r="BC2" s="163"/>
      <c r="BD2" s="163"/>
      <c r="BE2" s="163"/>
      <c r="BF2" s="163"/>
      <c r="BG2" s="113"/>
      <c r="BJ2" s="171" t="s">
        <v>754</v>
      </c>
      <c r="BK2" s="163"/>
      <c r="BL2" s="163"/>
      <c r="BM2" s="163"/>
      <c r="BN2" s="163"/>
      <c r="BO2" s="163"/>
      <c r="BP2" s="163"/>
      <c r="BQ2" s="163"/>
      <c r="BR2" s="113"/>
      <c r="BS2" s="171" t="s">
        <v>755</v>
      </c>
      <c r="BT2" s="163"/>
      <c r="BU2" s="163"/>
      <c r="BV2" s="163"/>
      <c r="BW2" s="163"/>
      <c r="BX2" s="163"/>
      <c r="BY2" s="163"/>
      <c r="BZ2" s="163"/>
      <c r="CA2" s="163"/>
      <c r="CB2" s="163"/>
      <c r="CC2" s="113"/>
      <c r="CG2" s="171" t="s">
        <v>758</v>
      </c>
      <c r="CH2" s="163"/>
      <c r="CI2" s="163"/>
      <c r="CJ2" s="163"/>
      <c r="CK2" s="163"/>
      <c r="CL2" s="163"/>
      <c r="CM2" s="163"/>
      <c r="CN2" s="163"/>
      <c r="CO2" s="113"/>
      <c r="CP2" s="176" t="s">
        <v>759</v>
      </c>
      <c r="CQ2" s="163"/>
      <c r="CR2" s="163"/>
      <c r="CS2" s="163"/>
      <c r="CT2" s="163"/>
      <c r="CU2" s="163"/>
      <c r="CV2" s="163"/>
      <c r="CW2" s="163"/>
      <c r="CX2" s="163"/>
      <c r="CY2" s="163"/>
      <c r="CZ2" s="113"/>
    </row>
    <row r="3" spans="1:104" x14ac:dyDescent="0.25">
      <c r="A3" s="179" t="s">
        <v>728</v>
      </c>
      <c r="B3" s="180">
        <v>14.175000000000001</v>
      </c>
      <c r="C3" s="180">
        <v>10.425000000000001</v>
      </c>
      <c r="D3" s="180">
        <v>10.028</v>
      </c>
      <c r="E3" s="180">
        <v>13.006</v>
      </c>
      <c r="F3" s="180">
        <v>12.631</v>
      </c>
      <c r="G3" s="180">
        <v>13.664999999999999</v>
      </c>
      <c r="H3" s="180">
        <v>27.45</v>
      </c>
      <c r="I3" s="180">
        <v>32.273000000000003</v>
      </c>
      <c r="J3" s="180">
        <v>38.033999999999999</v>
      </c>
      <c r="P3" s="114" t="s">
        <v>740</v>
      </c>
      <c r="Q3" s="32"/>
      <c r="R3" s="32"/>
      <c r="S3" s="32"/>
      <c r="T3" s="32"/>
      <c r="U3" s="32"/>
      <c r="V3" s="32"/>
      <c r="W3" s="32"/>
      <c r="X3" s="32"/>
      <c r="Y3" s="115"/>
      <c r="Z3" s="114" t="s">
        <v>740</v>
      </c>
      <c r="AA3" s="32"/>
      <c r="AB3" s="32"/>
      <c r="AC3" s="32"/>
      <c r="AD3" s="32"/>
      <c r="AE3" s="32"/>
      <c r="AF3" s="32"/>
      <c r="AG3" s="32"/>
      <c r="AH3" s="32"/>
      <c r="AI3" s="115"/>
      <c r="AN3" s="114" t="s">
        <v>740</v>
      </c>
      <c r="AO3" s="32"/>
      <c r="AP3" s="32"/>
      <c r="AQ3" s="32"/>
      <c r="AR3" s="32"/>
      <c r="AS3" s="32"/>
      <c r="AT3" s="32"/>
      <c r="AU3" s="32"/>
      <c r="AV3" s="32"/>
      <c r="AW3" s="115"/>
      <c r="AX3" s="114" t="s">
        <v>740</v>
      </c>
      <c r="AY3" s="32"/>
      <c r="AZ3" s="32"/>
      <c r="BA3" s="32"/>
      <c r="BB3" s="32"/>
      <c r="BC3" s="32"/>
      <c r="BD3" s="32"/>
      <c r="BE3" s="32"/>
      <c r="BF3" s="32"/>
      <c r="BG3" s="115"/>
      <c r="BJ3" s="114" t="s">
        <v>740</v>
      </c>
      <c r="BK3" s="32"/>
      <c r="BL3" s="32"/>
      <c r="BM3" s="29" t="s">
        <v>757</v>
      </c>
      <c r="BS3" s="114" t="s">
        <v>740</v>
      </c>
      <c r="BT3" s="32"/>
      <c r="BU3" s="32"/>
      <c r="BV3" s="32"/>
      <c r="BW3" s="32"/>
      <c r="BX3" s="32"/>
      <c r="BY3" s="32"/>
      <c r="BZ3" s="32"/>
      <c r="CA3" s="32"/>
      <c r="CB3" s="32"/>
      <c r="CC3" s="115"/>
      <c r="CG3" s="114" t="s">
        <v>740</v>
      </c>
      <c r="CH3" s="32"/>
      <c r="CI3" s="32"/>
      <c r="CJ3" s="32"/>
      <c r="CK3" s="32"/>
      <c r="CL3" s="32"/>
      <c r="CM3" s="32"/>
      <c r="CN3" s="32"/>
      <c r="CO3" s="115"/>
      <c r="CP3" s="32" t="s">
        <v>740</v>
      </c>
      <c r="CQ3" s="32"/>
      <c r="CR3" s="32"/>
      <c r="CS3" s="287" t="s">
        <v>744</v>
      </c>
      <c r="CT3" s="287"/>
      <c r="CU3" s="287"/>
      <c r="CV3" s="287"/>
      <c r="CW3" s="287"/>
      <c r="CX3" s="287"/>
      <c r="CY3" s="32"/>
      <c r="CZ3" s="115"/>
    </row>
    <row r="4" spans="1:104" ht="15.75" thickBot="1" x14ac:dyDescent="0.3">
      <c r="A4" s="179" t="s">
        <v>730</v>
      </c>
      <c r="B4" s="180">
        <v>0</v>
      </c>
      <c r="C4" s="180">
        <v>0</v>
      </c>
      <c r="D4" s="180">
        <v>7.3999999999999996E-2</v>
      </c>
      <c r="E4" s="180">
        <v>9.5000000000000001E-2</v>
      </c>
      <c r="F4" s="180">
        <v>0</v>
      </c>
      <c r="G4" s="180">
        <v>0</v>
      </c>
      <c r="H4" s="180">
        <v>1.7999999999999999E-2</v>
      </c>
      <c r="I4" s="180">
        <v>0.185</v>
      </c>
      <c r="J4" s="180">
        <v>0</v>
      </c>
      <c r="P4" s="114"/>
      <c r="Q4" s="32"/>
      <c r="R4" s="32"/>
      <c r="S4" s="32"/>
      <c r="T4" s="32"/>
      <c r="U4" s="32"/>
      <c r="V4" s="32"/>
      <c r="W4" s="32"/>
      <c r="X4" s="32"/>
      <c r="Y4" s="115"/>
      <c r="Z4" s="114"/>
      <c r="AA4" s="32"/>
      <c r="AB4" s="32"/>
      <c r="AC4" s="32"/>
      <c r="AD4" s="32"/>
      <c r="AE4" s="32"/>
      <c r="AF4" s="32"/>
      <c r="AG4" s="32"/>
      <c r="AH4" s="32"/>
      <c r="AI4" s="115"/>
      <c r="AN4" s="114"/>
      <c r="AO4" s="32"/>
      <c r="AP4" s="32"/>
      <c r="AQ4" s="32"/>
      <c r="AR4" s="32"/>
      <c r="AS4" s="32"/>
      <c r="AT4" s="32"/>
      <c r="AU4" s="32"/>
      <c r="AV4" s="32"/>
      <c r="AW4" s="115"/>
      <c r="AX4" s="114"/>
      <c r="AY4" s="32"/>
      <c r="AZ4" s="32"/>
      <c r="BA4" s="32"/>
      <c r="BB4" s="32"/>
      <c r="BC4" s="32"/>
      <c r="BD4" s="32"/>
      <c r="BE4" s="32"/>
      <c r="BF4" s="32"/>
      <c r="BG4" s="115"/>
      <c r="BJ4" s="114"/>
      <c r="BK4" s="32"/>
      <c r="BL4" s="32"/>
      <c r="BS4" s="114"/>
      <c r="BT4" s="32"/>
      <c r="BU4" s="32"/>
      <c r="BV4" s="32"/>
      <c r="BW4" s="32"/>
      <c r="BX4" s="32"/>
      <c r="BY4" s="32"/>
      <c r="BZ4" s="32"/>
      <c r="CA4" s="32"/>
      <c r="CB4" s="32"/>
      <c r="CC4" s="115"/>
      <c r="CG4" s="114"/>
      <c r="CH4" s="32"/>
      <c r="CI4" s="32"/>
      <c r="CJ4" s="32"/>
      <c r="CK4" s="32"/>
      <c r="CL4" s="32"/>
      <c r="CM4" s="32"/>
      <c r="CN4" s="32"/>
      <c r="CO4" s="115"/>
      <c r="CP4" s="32"/>
      <c r="CQ4" s="32"/>
      <c r="CR4" s="32"/>
      <c r="CS4" s="287"/>
      <c r="CT4" s="287"/>
      <c r="CU4" s="287"/>
      <c r="CV4" s="287"/>
      <c r="CW4" s="287"/>
      <c r="CX4" s="287"/>
      <c r="CY4" s="32"/>
      <c r="CZ4" s="115"/>
    </row>
    <row r="5" spans="1:104" x14ac:dyDescent="0.25">
      <c r="A5" s="179" t="s">
        <v>731</v>
      </c>
      <c r="B5" s="180">
        <v>0</v>
      </c>
      <c r="C5" s="180">
        <v>0.55500000000000005</v>
      </c>
      <c r="D5" s="180">
        <v>0.67900000000000005</v>
      </c>
      <c r="E5" s="180">
        <v>0.55900000000000005</v>
      </c>
      <c r="F5" s="180">
        <v>4.202</v>
      </c>
      <c r="G5" s="180">
        <v>3.3650000000000002</v>
      </c>
      <c r="H5" s="180">
        <v>6.0940000000000003</v>
      </c>
      <c r="I5" s="180">
        <v>4.5279999999999996</v>
      </c>
      <c r="J5" s="180">
        <v>4.2530000000000001</v>
      </c>
      <c r="P5" s="165" t="s">
        <v>684</v>
      </c>
      <c r="Q5" s="128"/>
      <c r="R5" s="32"/>
      <c r="S5" s="32"/>
      <c r="T5" s="32"/>
      <c r="U5" s="32"/>
      <c r="V5" s="32"/>
      <c r="W5" s="32"/>
      <c r="X5" s="32"/>
      <c r="Y5" s="115"/>
      <c r="Z5" s="165" t="s">
        <v>684</v>
      </c>
      <c r="AA5" s="128"/>
      <c r="AB5" s="32"/>
      <c r="AC5" s="32"/>
      <c r="AD5" s="32"/>
      <c r="AE5" s="32"/>
      <c r="AF5" s="32"/>
      <c r="AG5" s="32"/>
      <c r="AH5" s="32"/>
      <c r="AI5" s="115"/>
      <c r="AN5" s="189" t="s">
        <v>684</v>
      </c>
      <c r="AO5" s="186"/>
      <c r="AP5" s="32"/>
      <c r="AQ5" s="32"/>
      <c r="AR5" s="32"/>
      <c r="AS5" s="32"/>
      <c r="AT5" s="32"/>
      <c r="AU5" s="32"/>
      <c r="AV5" s="32"/>
      <c r="AW5" s="115"/>
      <c r="AX5" s="165" t="s">
        <v>684</v>
      </c>
      <c r="AY5" s="128"/>
      <c r="AZ5" s="32"/>
      <c r="BA5" s="32"/>
      <c r="BB5" s="32"/>
      <c r="BC5" s="32"/>
      <c r="BD5" s="32"/>
      <c r="BE5" s="32"/>
      <c r="BF5" s="32"/>
      <c r="BG5" s="115"/>
      <c r="BJ5" s="189" t="s">
        <v>684</v>
      </c>
      <c r="BK5" s="186"/>
      <c r="BL5" s="32"/>
      <c r="BS5" s="189" t="s">
        <v>684</v>
      </c>
      <c r="BT5" s="186"/>
      <c r="BU5" s="32"/>
      <c r="BV5" s="32"/>
      <c r="BW5" s="32"/>
      <c r="BX5" s="32"/>
      <c r="BY5" s="32"/>
      <c r="BZ5" s="32"/>
      <c r="CA5" s="32"/>
      <c r="CB5" s="32"/>
      <c r="CC5" s="115"/>
      <c r="CG5" s="165" t="s">
        <v>684</v>
      </c>
      <c r="CH5" s="128"/>
      <c r="CI5" s="32"/>
      <c r="CJ5" s="32"/>
      <c r="CK5" s="32"/>
      <c r="CL5" s="32"/>
      <c r="CM5" s="32"/>
      <c r="CN5" s="32"/>
      <c r="CO5" s="115"/>
      <c r="CP5" s="128" t="s">
        <v>684</v>
      </c>
      <c r="CQ5" s="128"/>
      <c r="CR5" s="32"/>
      <c r="CS5" s="287"/>
      <c r="CT5" s="287"/>
      <c r="CU5" s="287"/>
      <c r="CV5" s="287"/>
      <c r="CW5" s="287"/>
      <c r="CX5" s="287"/>
      <c r="CY5" s="32"/>
      <c r="CZ5" s="115"/>
    </row>
    <row r="6" spans="1:104" x14ac:dyDescent="0.25">
      <c r="A6" s="179" t="s">
        <v>732</v>
      </c>
      <c r="B6" s="180">
        <v>0</v>
      </c>
      <c r="C6" s="180">
        <v>0.33400000000000002</v>
      </c>
      <c r="D6" s="180">
        <v>0.35499999999999998</v>
      </c>
      <c r="E6" s="180">
        <v>0.39300000000000002</v>
      </c>
      <c r="F6" s="180">
        <v>0.38</v>
      </c>
      <c r="G6" s="180">
        <v>0.44900000000000001</v>
      </c>
      <c r="H6" s="180">
        <v>0.53900000000000003</v>
      </c>
      <c r="I6" s="180">
        <v>0.65700000000000003</v>
      </c>
      <c r="J6" s="180">
        <v>0.60399999999999998</v>
      </c>
      <c r="P6" s="166" t="s">
        <v>685</v>
      </c>
      <c r="Q6" s="125">
        <v>0.42865791832520023</v>
      </c>
      <c r="R6" s="32"/>
      <c r="S6" s="32"/>
      <c r="T6" s="32"/>
      <c r="U6" s="32"/>
      <c r="V6" s="32"/>
      <c r="W6" s="32"/>
      <c r="X6" s="32"/>
      <c r="Y6" s="115"/>
      <c r="Z6" s="166" t="s">
        <v>685</v>
      </c>
      <c r="AA6" s="125">
        <v>0.32764706321622494</v>
      </c>
      <c r="AB6" s="32"/>
      <c r="AC6" s="32"/>
      <c r="AD6" s="32"/>
      <c r="AE6" s="32"/>
      <c r="AF6" s="32"/>
      <c r="AG6" s="32"/>
      <c r="AH6" s="32"/>
      <c r="AI6" s="115"/>
      <c r="AN6" s="166" t="s">
        <v>685</v>
      </c>
      <c r="AO6" s="125">
        <v>0.86341318113370746</v>
      </c>
      <c r="AP6" s="32"/>
      <c r="AQ6" s="32"/>
      <c r="AR6" s="32"/>
      <c r="AS6" s="32"/>
      <c r="AT6" s="32"/>
      <c r="AU6" s="32"/>
      <c r="AV6" s="32"/>
      <c r="AW6" s="115"/>
      <c r="AX6" s="166" t="s">
        <v>685</v>
      </c>
      <c r="AY6" s="125">
        <v>0.91760327163763578</v>
      </c>
      <c r="AZ6" s="32"/>
      <c r="BA6" s="32"/>
      <c r="BB6" s="32"/>
      <c r="BC6" s="32"/>
      <c r="BD6" s="32"/>
      <c r="BE6" s="32"/>
      <c r="BF6" s="32"/>
      <c r="BG6" s="115"/>
      <c r="BJ6" s="166" t="s">
        <v>685</v>
      </c>
      <c r="BK6" s="125">
        <v>0.77032233253320548</v>
      </c>
      <c r="BL6" s="32"/>
      <c r="BS6" s="166" t="s">
        <v>685</v>
      </c>
      <c r="BT6" s="125">
        <v>0.91341230655973582</v>
      </c>
      <c r="BU6" s="32"/>
      <c r="BV6" s="32"/>
      <c r="BW6" s="32"/>
      <c r="BX6" s="32"/>
      <c r="BY6" s="32"/>
      <c r="BZ6" s="32"/>
      <c r="CA6" s="32"/>
      <c r="CB6" s="32"/>
      <c r="CC6" s="115"/>
      <c r="CG6" s="166" t="s">
        <v>685</v>
      </c>
      <c r="CH6" s="125">
        <v>0.96843061747360037</v>
      </c>
      <c r="CI6" s="32"/>
      <c r="CJ6" s="32"/>
      <c r="CK6" s="32"/>
      <c r="CL6" s="32"/>
      <c r="CM6" s="32"/>
      <c r="CN6" s="32"/>
      <c r="CO6" s="115"/>
      <c r="CP6" s="125" t="s">
        <v>685</v>
      </c>
      <c r="CQ6" s="125">
        <v>0.93491455262340384</v>
      </c>
      <c r="CR6" s="32"/>
      <c r="CS6" s="287"/>
      <c r="CT6" s="287"/>
      <c r="CU6" s="287"/>
      <c r="CV6" s="287"/>
      <c r="CW6" s="287"/>
      <c r="CX6" s="287"/>
      <c r="CY6" s="32"/>
      <c r="CZ6" s="115"/>
    </row>
    <row r="7" spans="1:104" x14ac:dyDescent="0.25">
      <c r="A7" s="179" t="s">
        <v>729</v>
      </c>
      <c r="B7" s="180">
        <v>0</v>
      </c>
      <c r="C7" s="180">
        <v>0</v>
      </c>
      <c r="D7" s="180">
        <v>0</v>
      </c>
      <c r="E7" s="180">
        <v>0</v>
      </c>
      <c r="F7" s="180">
        <v>0</v>
      </c>
      <c r="G7" s="180">
        <v>6.4000000000000001E-2</v>
      </c>
      <c r="H7" s="180">
        <v>0.113</v>
      </c>
      <c r="I7" s="180">
        <v>0.153</v>
      </c>
      <c r="J7" s="180">
        <v>0.13600000000000001</v>
      </c>
      <c r="P7" s="166" t="s">
        <v>686</v>
      </c>
      <c r="Q7" s="125">
        <v>0.18374761094289405</v>
      </c>
      <c r="R7" s="32"/>
      <c r="S7" s="32"/>
      <c r="T7" s="32"/>
      <c r="U7" s="32"/>
      <c r="V7" s="32"/>
      <c r="W7" s="32"/>
      <c r="X7" s="32"/>
      <c r="Y7" s="115"/>
      <c r="Z7" s="166" t="s">
        <v>686</v>
      </c>
      <c r="AA7" s="125">
        <v>0.1073525980342169</v>
      </c>
      <c r="AB7" s="32"/>
      <c r="AC7" s="32"/>
      <c r="AD7" s="32"/>
      <c r="AE7" s="32"/>
      <c r="AF7" s="32"/>
      <c r="AG7" s="32"/>
      <c r="AH7" s="32"/>
      <c r="AI7" s="115"/>
      <c r="AN7" s="166" t="s">
        <v>686</v>
      </c>
      <c r="AO7" s="125">
        <v>0.74548232135542836</v>
      </c>
      <c r="AP7" s="32"/>
      <c r="AQ7" s="32"/>
      <c r="AR7" s="32"/>
      <c r="AS7" s="32"/>
      <c r="AT7" s="32"/>
      <c r="AU7" s="32"/>
      <c r="AV7" s="32"/>
      <c r="AW7" s="115"/>
      <c r="AX7" s="166" t="s">
        <v>686</v>
      </c>
      <c r="AY7" s="125">
        <v>0.8419957641200928</v>
      </c>
      <c r="AZ7" s="32"/>
      <c r="BA7" s="32"/>
      <c r="BB7" s="32"/>
      <c r="BC7" s="32"/>
      <c r="BD7" s="32"/>
      <c r="BE7" s="32"/>
      <c r="BF7" s="32"/>
      <c r="BG7" s="115"/>
      <c r="BJ7" s="166" t="s">
        <v>686</v>
      </c>
      <c r="BK7" s="125">
        <v>0.59339649599939848</v>
      </c>
      <c r="BL7" s="32"/>
      <c r="BM7" s="32"/>
      <c r="BN7" s="32"/>
      <c r="BO7" s="32"/>
      <c r="BP7" s="32"/>
      <c r="BQ7" s="32"/>
      <c r="BR7" s="115"/>
      <c r="BS7" s="166" t="s">
        <v>686</v>
      </c>
      <c r="BT7" s="125">
        <v>0.83432204177477687</v>
      </c>
      <c r="BU7" s="32"/>
      <c r="BV7" s="32"/>
      <c r="BW7" s="32"/>
      <c r="BX7" s="32"/>
      <c r="BY7" s="32"/>
      <c r="BZ7" s="32"/>
      <c r="CA7" s="32"/>
      <c r="CB7" s="32"/>
      <c r="CC7" s="115"/>
      <c r="CG7" s="166" t="s">
        <v>686</v>
      </c>
      <c r="CH7" s="125">
        <v>0.93785786086029899</v>
      </c>
      <c r="CI7" s="32"/>
      <c r="CJ7" s="32"/>
      <c r="CK7" s="32"/>
      <c r="CL7" s="32"/>
      <c r="CM7" s="32"/>
      <c r="CN7" s="32"/>
      <c r="CO7" s="115"/>
      <c r="CP7" s="125" t="s">
        <v>686</v>
      </c>
      <c r="CQ7" s="125">
        <v>0.87406522070701942</v>
      </c>
      <c r="CR7" s="32"/>
      <c r="CS7" s="32"/>
      <c r="CT7" s="32"/>
      <c r="CU7" s="32"/>
      <c r="CV7" s="32"/>
      <c r="CW7" s="32"/>
      <c r="CX7" s="32"/>
      <c r="CY7" s="32"/>
      <c r="CZ7" s="115"/>
    </row>
    <row r="8" spans="1:104" x14ac:dyDescent="0.25">
      <c r="A8" s="123"/>
      <c r="B8" s="181"/>
      <c r="C8" s="181"/>
      <c r="D8" s="181"/>
      <c r="E8" s="181"/>
      <c r="F8" s="181"/>
      <c r="G8" s="181"/>
      <c r="H8" s="181"/>
      <c r="I8" s="181"/>
      <c r="J8" s="181"/>
      <c r="P8" s="166" t="s">
        <v>687</v>
      </c>
      <c r="Q8" s="177">
        <v>-8.8336518742807943E-2</v>
      </c>
      <c r="R8" s="32"/>
      <c r="S8" s="32"/>
      <c r="T8" s="32"/>
      <c r="U8" s="32"/>
      <c r="V8" s="32"/>
      <c r="W8" s="32"/>
      <c r="X8" s="32"/>
      <c r="Y8" s="115"/>
      <c r="Z8" s="166" t="s">
        <v>687</v>
      </c>
      <c r="AA8" s="177">
        <v>-0.19019653595437747</v>
      </c>
      <c r="AB8" s="32"/>
      <c r="AC8" s="32"/>
      <c r="AD8" s="32"/>
      <c r="AE8" s="32"/>
      <c r="AF8" s="32"/>
      <c r="AG8" s="32"/>
      <c r="AH8" s="32"/>
      <c r="AI8" s="115"/>
      <c r="AN8" s="166" t="s">
        <v>687</v>
      </c>
      <c r="AO8" s="125">
        <v>0.66064309514057118</v>
      </c>
      <c r="AP8" s="32"/>
      <c r="AQ8" s="32"/>
      <c r="AR8" s="32"/>
      <c r="AS8" s="32"/>
      <c r="AT8" s="32"/>
      <c r="AU8" s="32"/>
      <c r="AV8" s="32"/>
      <c r="AW8" s="115"/>
      <c r="AX8" s="166" t="s">
        <v>687</v>
      </c>
      <c r="AY8" s="125">
        <v>0.78932768549345711</v>
      </c>
      <c r="AZ8" s="32"/>
      <c r="BA8" s="32"/>
      <c r="BB8" s="32"/>
      <c r="BC8" s="32"/>
      <c r="BD8" s="32"/>
      <c r="BE8" s="32"/>
      <c r="BF8" s="32"/>
      <c r="BG8" s="115"/>
      <c r="BJ8" s="166" t="s">
        <v>687</v>
      </c>
      <c r="BK8" s="125">
        <v>0.53531028114216972</v>
      </c>
      <c r="BL8" s="32"/>
      <c r="BM8" s="32"/>
      <c r="BN8" s="32"/>
      <c r="BO8" s="32"/>
      <c r="BP8" s="32"/>
      <c r="BQ8" s="32"/>
      <c r="BR8" s="115"/>
      <c r="BS8" s="166" t="s">
        <v>687</v>
      </c>
      <c r="BT8" s="125">
        <v>0.77909605569970253</v>
      </c>
      <c r="BU8" s="32"/>
      <c r="BV8" s="32"/>
      <c r="BW8" s="32"/>
      <c r="BX8" s="32"/>
      <c r="BY8" s="32"/>
      <c r="BZ8" s="32"/>
      <c r="CA8" s="32"/>
      <c r="CB8" s="32"/>
      <c r="CC8" s="115"/>
      <c r="CG8" s="166" t="s">
        <v>687</v>
      </c>
      <c r="CH8" s="125">
        <v>0.90057257737647833</v>
      </c>
      <c r="CI8" s="32"/>
      <c r="CJ8" s="32"/>
      <c r="CK8" s="32"/>
      <c r="CL8" s="32"/>
      <c r="CM8" s="32"/>
      <c r="CN8" s="32"/>
      <c r="CO8" s="115"/>
      <c r="CP8" s="125" t="s">
        <v>687</v>
      </c>
      <c r="CQ8" s="125">
        <v>0.85607453795087929</v>
      </c>
      <c r="CR8" s="32"/>
      <c r="CS8" s="32"/>
      <c r="CT8" s="32"/>
      <c r="CU8" s="32"/>
      <c r="CV8" s="32"/>
      <c r="CW8" s="32"/>
      <c r="CX8" s="32"/>
      <c r="CY8" s="32"/>
      <c r="CZ8" s="115"/>
    </row>
    <row r="9" spans="1:104" s="32" customFormat="1" x14ac:dyDescent="0.25">
      <c r="A9" s="183" t="s">
        <v>718</v>
      </c>
      <c r="B9" s="182" t="s">
        <v>49</v>
      </c>
      <c r="C9" s="182" t="s">
        <v>761</v>
      </c>
      <c r="D9" s="183" t="s">
        <v>718</v>
      </c>
      <c r="E9" s="182" t="s">
        <v>731</v>
      </c>
      <c r="F9" s="182" t="s">
        <v>728</v>
      </c>
      <c r="G9" s="182" t="s">
        <v>730</v>
      </c>
      <c r="H9" s="182" t="s">
        <v>732</v>
      </c>
      <c r="I9" s="182" t="s">
        <v>729</v>
      </c>
      <c r="J9" s="183" t="s">
        <v>718</v>
      </c>
      <c r="K9" s="182" t="s">
        <v>753</v>
      </c>
      <c r="P9" s="166" t="s">
        <v>688</v>
      </c>
      <c r="Q9" s="125">
        <v>6.7683679654095066E-2</v>
      </c>
      <c r="Y9" s="115"/>
      <c r="Z9" s="166" t="s">
        <v>688</v>
      </c>
      <c r="AA9" s="125">
        <v>7.0780186273885728E-2</v>
      </c>
      <c r="AI9" s="115"/>
      <c r="AN9" s="166" t="s">
        <v>688</v>
      </c>
      <c r="AO9" s="125">
        <v>1.311203913055883</v>
      </c>
      <c r="AW9" s="115"/>
      <c r="AX9" s="166" t="s">
        <v>688</v>
      </c>
      <c r="AY9" s="125">
        <v>1.0331077627616476</v>
      </c>
      <c r="BG9" s="115"/>
      <c r="BJ9" s="166" t="s">
        <v>688</v>
      </c>
      <c r="BK9" s="125">
        <v>0.13086865277148763</v>
      </c>
      <c r="BR9" s="115"/>
      <c r="BS9" s="166" t="s">
        <v>688</v>
      </c>
      <c r="BT9" s="125">
        <v>9.0231013355341214E-2</v>
      </c>
      <c r="CC9" s="115"/>
      <c r="CG9" s="166" t="s">
        <v>688</v>
      </c>
      <c r="CH9" s="125">
        <v>2.0749459585006128E-2</v>
      </c>
      <c r="CO9" s="115"/>
      <c r="CP9" s="125" t="s">
        <v>688</v>
      </c>
      <c r="CQ9" s="125">
        <v>2.4964479489450644E-2</v>
      </c>
      <c r="CZ9" s="115"/>
    </row>
    <row r="10" spans="1:104" s="32" customFormat="1" ht="15.75" thickBot="1" x14ac:dyDescent="0.3">
      <c r="A10" s="123">
        <v>2016</v>
      </c>
      <c r="B10" s="181">
        <v>31.353000000000002</v>
      </c>
      <c r="C10" s="188">
        <v>0</v>
      </c>
      <c r="D10" s="123">
        <v>2016</v>
      </c>
      <c r="E10" s="181">
        <v>0</v>
      </c>
      <c r="F10" s="181">
        <v>14.175000000000001</v>
      </c>
      <c r="G10" s="181">
        <v>0</v>
      </c>
      <c r="H10" s="181">
        <v>0</v>
      </c>
      <c r="I10" s="181">
        <v>0</v>
      </c>
      <c r="J10" s="123">
        <v>2016</v>
      </c>
      <c r="K10" s="182">
        <v>0</v>
      </c>
      <c r="P10" s="167" t="s">
        <v>689</v>
      </c>
      <c r="Q10" s="126">
        <v>9</v>
      </c>
      <c r="Y10" s="115"/>
      <c r="Z10" s="167" t="s">
        <v>689</v>
      </c>
      <c r="AA10" s="126">
        <v>9</v>
      </c>
      <c r="AI10" s="115"/>
      <c r="AN10" s="166" t="s">
        <v>689</v>
      </c>
      <c r="AO10" s="125">
        <v>9</v>
      </c>
      <c r="AW10" s="115"/>
      <c r="AX10" s="167" t="s">
        <v>689</v>
      </c>
      <c r="AY10" s="126">
        <v>9</v>
      </c>
      <c r="BG10" s="115"/>
      <c r="BJ10" s="166" t="s">
        <v>689</v>
      </c>
      <c r="BK10" s="125">
        <v>9</v>
      </c>
      <c r="BR10" s="115"/>
      <c r="BS10" s="166" t="s">
        <v>689</v>
      </c>
      <c r="BT10" s="125">
        <v>9</v>
      </c>
      <c r="CC10" s="115"/>
      <c r="CG10" s="167" t="s">
        <v>689</v>
      </c>
      <c r="CH10" s="126">
        <v>9</v>
      </c>
      <c r="CO10" s="115"/>
      <c r="CP10" s="126" t="s">
        <v>689</v>
      </c>
      <c r="CQ10" s="126">
        <v>9</v>
      </c>
      <c r="CZ10" s="115"/>
    </row>
    <row r="11" spans="1:104" s="32" customFormat="1" x14ac:dyDescent="0.25">
      <c r="A11">
        <v>2017</v>
      </c>
      <c r="B11">
        <v>23.646000000000001</v>
      </c>
      <c r="C11" s="188">
        <v>0</v>
      </c>
      <c r="D11">
        <v>2017</v>
      </c>
      <c r="E11">
        <v>0.55500000000000005</v>
      </c>
      <c r="F11">
        <v>10.425000000000001</v>
      </c>
      <c r="G11">
        <v>0</v>
      </c>
      <c r="H11">
        <v>0.33400000000000002</v>
      </c>
      <c r="I11">
        <v>0</v>
      </c>
      <c r="J11">
        <v>2017</v>
      </c>
      <c r="K11" s="188">
        <v>31.353000000000002</v>
      </c>
      <c r="P11" s="114"/>
      <c r="Y11" s="115"/>
      <c r="Z11" s="114"/>
      <c r="AI11" s="115"/>
      <c r="AN11" s="114"/>
      <c r="AW11" s="115"/>
      <c r="AX11" s="114"/>
      <c r="BG11" s="115"/>
      <c r="BJ11" s="114"/>
      <c r="BR11" s="115"/>
      <c r="BS11" s="114"/>
      <c r="CC11" s="115"/>
      <c r="CG11" s="114"/>
      <c r="CO11" s="115"/>
      <c r="CZ11" s="115"/>
    </row>
    <row r="12" spans="1:104" ht="15.75" thickBot="1" x14ac:dyDescent="0.3">
      <c r="A12">
        <v>2018</v>
      </c>
      <c r="B12">
        <v>33.683999999999997</v>
      </c>
      <c r="C12">
        <v>0.55500000000000005</v>
      </c>
      <c r="D12">
        <v>2018</v>
      </c>
      <c r="E12">
        <v>0.67900000000000005</v>
      </c>
      <c r="F12">
        <v>10.028</v>
      </c>
      <c r="G12">
        <v>7.3999999999999996E-2</v>
      </c>
      <c r="H12">
        <v>0.35499999999999998</v>
      </c>
      <c r="I12">
        <v>0</v>
      </c>
      <c r="J12">
        <v>2018</v>
      </c>
      <c r="K12" s="181">
        <v>23.646000000000001</v>
      </c>
      <c r="P12" s="114" t="s">
        <v>690</v>
      </c>
      <c r="Q12" s="32"/>
      <c r="R12" s="32"/>
      <c r="S12" s="32"/>
      <c r="T12" s="32"/>
      <c r="U12" s="32"/>
      <c r="V12" s="32"/>
      <c r="W12" s="32"/>
      <c r="X12" s="32"/>
      <c r="Y12" s="115"/>
      <c r="Z12" s="114" t="s">
        <v>690</v>
      </c>
      <c r="AA12" s="32"/>
      <c r="AB12" s="32"/>
      <c r="AC12" s="32"/>
      <c r="AD12" s="32"/>
      <c r="AE12" s="32"/>
      <c r="AF12" s="32"/>
      <c r="AG12" s="32"/>
      <c r="AH12" s="32"/>
      <c r="AI12" s="115"/>
      <c r="AN12" s="114" t="s">
        <v>690</v>
      </c>
      <c r="AO12" s="32"/>
      <c r="AP12" s="32"/>
      <c r="AQ12" s="32"/>
      <c r="AR12" s="32"/>
      <c r="AS12" s="32"/>
      <c r="AT12" s="32"/>
      <c r="AU12" s="32"/>
      <c r="AV12" s="32"/>
      <c r="AW12" s="115"/>
      <c r="AX12" s="114" t="s">
        <v>690</v>
      </c>
      <c r="AY12" s="32"/>
      <c r="AZ12" s="32"/>
      <c r="BA12" s="32"/>
      <c r="BB12" s="32"/>
      <c r="BC12" s="32"/>
      <c r="BD12" s="32"/>
      <c r="BE12" s="32"/>
      <c r="BF12" s="32"/>
      <c r="BG12" s="115"/>
      <c r="BJ12" s="114" t="s">
        <v>690</v>
      </c>
      <c r="BK12" s="32"/>
      <c r="BL12" s="32"/>
      <c r="BM12" s="32"/>
      <c r="BN12" s="32"/>
      <c r="BO12" s="32"/>
      <c r="BP12" s="32"/>
      <c r="BQ12" s="32"/>
      <c r="BR12" s="115"/>
      <c r="BS12" s="114" t="s">
        <v>690</v>
      </c>
      <c r="BT12" s="32"/>
      <c r="BU12" s="32"/>
      <c r="BV12" s="32"/>
      <c r="BW12" s="32"/>
      <c r="BX12" s="32"/>
      <c r="BY12" s="32"/>
      <c r="BZ12" s="32"/>
      <c r="CA12" s="32"/>
      <c r="CB12" s="32"/>
      <c r="CC12" s="115"/>
      <c r="CG12" s="114" t="s">
        <v>690</v>
      </c>
      <c r="CH12" s="32"/>
      <c r="CI12" s="32"/>
      <c r="CJ12" s="32"/>
      <c r="CK12" s="32"/>
      <c r="CL12" s="32"/>
      <c r="CM12" s="32"/>
      <c r="CN12" s="32"/>
      <c r="CO12" s="115"/>
      <c r="CP12" s="32" t="s">
        <v>690</v>
      </c>
      <c r="CQ12" s="32"/>
      <c r="CR12" s="32"/>
      <c r="CS12" s="32"/>
      <c r="CT12" s="32"/>
      <c r="CU12" s="32"/>
      <c r="CV12" s="32"/>
      <c r="CW12" s="32"/>
      <c r="CX12" s="32"/>
      <c r="CY12" s="32"/>
      <c r="CZ12" s="115"/>
    </row>
    <row r="13" spans="1:104" x14ac:dyDescent="0.25">
      <c r="A13">
        <v>2019</v>
      </c>
      <c r="B13">
        <v>38.621000000000002</v>
      </c>
      <c r="C13">
        <v>0.67900000000000005</v>
      </c>
      <c r="D13">
        <v>2019</v>
      </c>
      <c r="E13">
        <v>0.55900000000000005</v>
      </c>
      <c r="F13">
        <v>13.006</v>
      </c>
      <c r="G13">
        <v>9.5000000000000001E-2</v>
      </c>
      <c r="H13">
        <v>0.39300000000000002</v>
      </c>
      <c r="I13">
        <v>0</v>
      </c>
      <c r="J13">
        <v>2019</v>
      </c>
      <c r="K13">
        <v>33.683999999999997</v>
      </c>
      <c r="P13" s="168"/>
      <c r="Q13" s="127" t="s">
        <v>695</v>
      </c>
      <c r="R13" s="127" t="s">
        <v>696</v>
      </c>
      <c r="S13" s="127" t="s">
        <v>697</v>
      </c>
      <c r="T13" s="127" t="s">
        <v>698</v>
      </c>
      <c r="U13" s="127" t="s">
        <v>699</v>
      </c>
      <c r="V13" s="32"/>
      <c r="W13" s="32"/>
      <c r="X13" s="32"/>
      <c r="Y13" s="115"/>
      <c r="Z13" s="168"/>
      <c r="AA13" s="127" t="s">
        <v>695</v>
      </c>
      <c r="AB13" s="127" t="s">
        <v>696</v>
      </c>
      <c r="AC13" s="127" t="s">
        <v>697</v>
      </c>
      <c r="AD13" s="127" t="s">
        <v>698</v>
      </c>
      <c r="AE13" s="127" t="s">
        <v>699</v>
      </c>
      <c r="AF13" s="32"/>
      <c r="AG13" s="32"/>
      <c r="AH13" s="32"/>
      <c r="AI13" s="115"/>
      <c r="AN13" s="190"/>
      <c r="AO13" s="187" t="s">
        <v>695</v>
      </c>
      <c r="AP13" s="187" t="s">
        <v>696</v>
      </c>
      <c r="AQ13" s="187" t="s">
        <v>697</v>
      </c>
      <c r="AR13" s="187" t="s">
        <v>698</v>
      </c>
      <c r="AS13" s="187" t="s">
        <v>699</v>
      </c>
      <c r="AT13" s="32"/>
      <c r="AU13" s="32"/>
      <c r="AV13" s="32"/>
      <c r="AW13" s="115"/>
      <c r="AX13" s="168"/>
      <c r="AY13" s="127" t="s">
        <v>695</v>
      </c>
      <c r="AZ13" s="127" t="s">
        <v>696</v>
      </c>
      <c r="BA13" s="127" t="s">
        <v>697</v>
      </c>
      <c r="BB13" s="127" t="s">
        <v>698</v>
      </c>
      <c r="BC13" s="127" t="s">
        <v>699</v>
      </c>
      <c r="BD13" s="32"/>
      <c r="BE13" s="32"/>
      <c r="BF13" s="32"/>
      <c r="BG13" s="115"/>
      <c r="BJ13" s="190"/>
      <c r="BK13" s="187" t="s">
        <v>695</v>
      </c>
      <c r="BL13" s="187" t="s">
        <v>696</v>
      </c>
      <c r="BM13" s="187" t="s">
        <v>697</v>
      </c>
      <c r="BN13" s="187" t="s">
        <v>698</v>
      </c>
      <c r="BO13" s="187" t="s">
        <v>699</v>
      </c>
      <c r="BP13" s="32"/>
      <c r="BQ13" s="32"/>
      <c r="BR13" s="115"/>
      <c r="BS13" s="190"/>
      <c r="BT13" s="187" t="s">
        <v>695</v>
      </c>
      <c r="BU13" s="187" t="s">
        <v>696</v>
      </c>
      <c r="BV13" s="187" t="s">
        <v>697</v>
      </c>
      <c r="BW13" s="187" t="s">
        <v>698</v>
      </c>
      <c r="BX13" s="187" t="s">
        <v>699</v>
      </c>
      <c r="BY13" s="32"/>
      <c r="BZ13" s="32"/>
      <c r="CA13" s="32"/>
      <c r="CB13" s="32"/>
      <c r="CC13" s="115"/>
      <c r="CG13" s="168"/>
      <c r="CH13" s="127" t="s">
        <v>695</v>
      </c>
      <c r="CI13" s="127" t="s">
        <v>696</v>
      </c>
      <c r="CJ13" s="127" t="s">
        <v>697</v>
      </c>
      <c r="CK13" s="127" t="s">
        <v>698</v>
      </c>
      <c r="CL13" s="127" t="s">
        <v>699</v>
      </c>
      <c r="CM13" s="32"/>
      <c r="CN13" s="32"/>
      <c r="CO13" s="115"/>
      <c r="CP13" s="127"/>
      <c r="CQ13" s="127" t="s">
        <v>695</v>
      </c>
      <c r="CR13" s="127" t="s">
        <v>696</v>
      </c>
      <c r="CS13" s="127" t="s">
        <v>697</v>
      </c>
      <c r="CT13" s="127" t="s">
        <v>698</v>
      </c>
      <c r="CU13" s="127" t="s">
        <v>699</v>
      </c>
      <c r="CV13" s="32"/>
      <c r="CW13" s="32"/>
      <c r="CX13" s="32"/>
      <c r="CY13" s="32"/>
      <c r="CZ13" s="115"/>
    </row>
    <row r="14" spans="1:104" x14ac:dyDescent="0.25">
      <c r="A14">
        <v>2020</v>
      </c>
      <c r="B14">
        <v>35.93</v>
      </c>
      <c r="C14">
        <v>0.55900000000000005</v>
      </c>
      <c r="D14">
        <v>2020</v>
      </c>
      <c r="E14">
        <v>4.202</v>
      </c>
      <c r="F14">
        <v>12.631</v>
      </c>
      <c r="G14">
        <v>0</v>
      </c>
      <c r="H14">
        <v>0.38</v>
      </c>
      <c r="I14">
        <v>0</v>
      </c>
      <c r="J14">
        <v>2020</v>
      </c>
      <c r="K14">
        <v>38.621000000000002</v>
      </c>
      <c r="P14" s="166" t="s">
        <v>691</v>
      </c>
      <c r="Q14" s="125">
        <v>2</v>
      </c>
      <c r="R14" s="125">
        <v>6.1875170508910136E-3</v>
      </c>
      <c r="S14" s="125">
        <v>3.0937585254455068E-3</v>
      </c>
      <c r="T14" s="125">
        <v>0.67533380633096884</v>
      </c>
      <c r="U14" s="177">
        <v>0.54384281625828035</v>
      </c>
      <c r="V14" s="32"/>
      <c r="W14" s="32"/>
      <c r="X14" s="32"/>
      <c r="Y14" s="115"/>
      <c r="Z14" s="166" t="s">
        <v>691</v>
      </c>
      <c r="AA14" s="125">
        <v>2</v>
      </c>
      <c r="AB14" s="125">
        <v>3.6149913862042193E-3</v>
      </c>
      <c r="AC14" s="125">
        <v>1.8074956931021097E-3</v>
      </c>
      <c r="AD14" s="125">
        <v>0.36078948237951158</v>
      </c>
      <c r="AE14" s="177">
        <v>0.71127875317447464</v>
      </c>
      <c r="AF14" s="32"/>
      <c r="AG14" s="32"/>
      <c r="AH14" s="32"/>
      <c r="AI14" s="115"/>
      <c r="AN14" s="166" t="s">
        <v>691</v>
      </c>
      <c r="AO14" s="125">
        <v>2</v>
      </c>
      <c r="AP14" s="125">
        <v>30.214201345877196</v>
      </c>
      <c r="AQ14" s="125">
        <v>15.107100672938598</v>
      </c>
      <c r="AR14" s="125">
        <v>8.7870004786167897</v>
      </c>
      <c r="AS14" s="129">
        <v>1.6487464014311289E-2</v>
      </c>
      <c r="AT14" s="32"/>
      <c r="AU14" s="32"/>
      <c r="AV14" s="32"/>
      <c r="AW14" s="115"/>
      <c r="AX14" s="166" t="s">
        <v>691</v>
      </c>
      <c r="AY14" s="125">
        <v>2</v>
      </c>
      <c r="AZ14" s="125">
        <v>34.125865658685292</v>
      </c>
      <c r="BA14" s="125">
        <v>17.062932829342646</v>
      </c>
      <c r="BB14" s="125">
        <v>15.986832747194082</v>
      </c>
      <c r="BC14" s="129">
        <v>3.9446292420229163E-3</v>
      </c>
      <c r="BD14" s="32"/>
      <c r="BE14" s="32"/>
      <c r="BF14" s="32"/>
      <c r="BG14" s="115"/>
      <c r="BJ14" s="166" t="s">
        <v>691</v>
      </c>
      <c r="BK14" s="125">
        <v>1</v>
      </c>
      <c r="BL14" s="125">
        <v>0.17496177005243069</v>
      </c>
      <c r="BM14" s="125">
        <v>0.17496177005243069</v>
      </c>
      <c r="BN14" s="125">
        <v>10.215788676503006</v>
      </c>
      <c r="BO14" s="129">
        <v>1.5145251645763469E-2</v>
      </c>
      <c r="BP14" s="32"/>
      <c r="BQ14" s="32"/>
      <c r="BR14" s="115"/>
      <c r="BS14" s="166" t="s">
        <v>691</v>
      </c>
      <c r="BT14" s="125">
        <v>2</v>
      </c>
      <c r="BU14" s="125">
        <v>0.24599818537320947</v>
      </c>
      <c r="BV14" s="125">
        <v>0.12299909268660474</v>
      </c>
      <c r="BW14" s="125">
        <v>15.107417740637478</v>
      </c>
      <c r="BX14" s="129">
        <v>4.5477250651940427E-3</v>
      </c>
      <c r="BY14" s="32"/>
      <c r="BZ14" s="32"/>
      <c r="CA14" s="32"/>
      <c r="CB14" s="32"/>
      <c r="CC14" s="115"/>
      <c r="CG14" s="166" t="s">
        <v>691</v>
      </c>
      <c r="CH14" s="125">
        <v>3</v>
      </c>
      <c r="CI14" s="125">
        <v>3.2488855190206535E-2</v>
      </c>
      <c r="CJ14" s="125">
        <v>1.0829618396735512E-2</v>
      </c>
      <c r="CK14" s="125">
        <v>25.153566587934602</v>
      </c>
      <c r="CL14" s="129">
        <v>1.9170180776628125E-3</v>
      </c>
      <c r="CM14" s="32"/>
      <c r="CN14" s="32"/>
      <c r="CO14" s="115"/>
      <c r="CP14" s="125" t="s">
        <v>691</v>
      </c>
      <c r="CQ14" s="125">
        <v>1</v>
      </c>
      <c r="CR14" s="125">
        <v>3.0278978902301138E-2</v>
      </c>
      <c r="CS14" s="125">
        <v>3.0278978902301138E-2</v>
      </c>
      <c r="CT14" s="125">
        <v>48.584327374051867</v>
      </c>
      <c r="CU14" s="129">
        <v>2.1723229103703603E-4</v>
      </c>
      <c r="CV14" s="32"/>
      <c r="CW14" s="32"/>
      <c r="CX14" s="32"/>
      <c r="CY14" s="32"/>
      <c r="CZ14" s="115"/>
    </row>
    <row r="15" spans="1:104" x14ac:dyDescent="0.25">
      <c r="A15">
        <v>2021</v>
      </c>
      <c r="B15">
        <v>120.319</v>
      </c>
      <c r="C15">
        <v>4.202</v>
      </c>
      <c r="D15">
        <v>2021</v>
      </c>
      <c r="E15">
        <v>3.3650000000000002</v>
      </c>
      <c r="F15">
        <v>13.664999999999999</v>
      </c>
      <c r="G15">
        <v>0</v>
      </c>
      <c r="H15">
        <v>0.44900000000000001</v>
      </c>
      <c r="I15">
        <v>6.4000000000000001E-2</v>
      </c>
      <c r="J15">
        <v>2021</v>
      </c>
      <c r="K15">
        <v>35.93</v>
      </c>
      <c r="P15" s="166" t="s">
        <v>692</v>
      </c>
      <c r="Q15" s="125">
        <v>6</v>
      </c>
      <c r="R15" s="125">
        <v>2.7486482949108982E-2</v>
      </c>
      <c r="S15" s="125">
        <v>4.5810804915181634E-3</v>
      </c>
      <c r="T15" s="125"/>
      <c r="U15" s="125"/>
      <c r="V15" s="32"/>
      <c r="W15" s="32"/>
      <c r="X15" s="32"/>
      <c r="Y15" s="115"/>
      <c r="Z15" s="166" t="s">
        <v>692</v>
      </c>
      <c r="AA15" s="125">
        <v>6</v>
      </c>
      <c r="AB15" s="125">
        <v>3.0059008613795776E-2</v>
      </c>
      <c r="AC15" s="125">
        <v>5.0098347689659624E-3</v>
      </c>
      <c r="AD15" s="125"/>
      <c r="AE15" s="125"/>
      <c r="AF15" s="32"/>
      <c r="AG15" s="32"/>
      <c r="AH15" s="32"/>
      <c r="AI15" s="115"/>
      <c r="AN15" s="166" t="s">
        <v>692</v>
      </c>
      <c r="AO15" s="125">
        <v>6</v>
      </c>
      <c r="AP15" s="125">
        <v>10.315534209678358</v>
      </c>
      <c r="AQ15" s="125">
        <v>1.7192557016130596</v>
      </c>
      <c r="AR15" s="125"/>
      <c r="AS15" s="125"/>
      <c r="AT15" s="32"/>
      <c r="AU15" s="32"/>
      <c r="AV15" s="32"/>
      <c r="AW15" s="115"/>
      <c r="AX15" s="166" t="s">
        <v>692</v>
      </c>
      <c r="AY15" s="125">
        <v>6</v>
      </c>
      <c r="AZ15" s="125">
        <v>6.4038698968702601</v>
      </c>
      <c r="BA15" s="125">
        <v>1.0673116494783768</v>
      </c>
      <c r="BB15" s="125"/>
      <c r="BC15" s="125"/>
      <c r="BD15" s="32"/>
      <c r="BE15" s="32"/>
      <c r="BF15" s="32"/>
      <c r="BG15" s="115"/>
      <c r="BJ15" s="166" t="s">
        <v>692</v>
      </c>
      <c r="BK15" s="125">
        <v>7</v>
      </c>
      <c r="BL15" s="125">
        <v>0.11988622994756938</v>
      </c>
      <c r="BM15" s="125">
        <v>1.7126604278224197E-2</v>
      </c>
      <c r="BN15" s="125"/>
      <c r="BO15" s="125"/>
      <c r="BP15" s="32"/>
      <c r="BQ15" s="32"/>
      <c r="BR15" s="115"/>
      <c r="BS15" s="166" t="s">
        <v>692</v>
      </c>
      <c r="BT15" s="125">
        <v>6</v>
      </c>
      <c r="BU15" s="125">
        <v>4.884981462679059E-2</v>
      </c>
      <c r="BV15" s="125">
        <v>8.1416357711317656E-3</v>
      </c>
      <c r="BW15" s="125"/>
      <c r="BX15" s="125"/>
      <c r="BY15" s="32"/>
      <c r="BZ15" s="32"/>
      <c r="CA15" s="32"/>
      <c r="CB15" s="32"/>
      <c r="CC15" s="115"/>
      <c r="CG15" s="166" t="s">
        <v>692</v>
      </c>
      <c r="CH15" s="125">
        <v>5</v>
      </c>
      <c r="CI15" s="125">
        <v>2.1527003653490136E-3</v>
      </c>
      <c r="CJ15" s="125">
        <v>4.3054007306980274E-4</v>
      </c>
      <c r="CK15" s="125"/>
      <c r="CL15" s="125"/>
      <c r="CM15" s="32"/>
      <c r="CN15" s="32"/>
      <c r="CO15" s="115"/>
      <c r="CP15" s="125" t="s">
        <v>692</v>
      </c>
      <c r="CQ15" s="125">
        <v>7</v>
      </c>
      <c r="CR15" s="125">
        <v>4.3625766532544132E-3</v>
      </c>
      <c r="CS15" s="125">
        <v>6.2322523617920188E-4</v>
      </c>
      <c r="CT15" s="125"/>
      <c r="CU15" s="125"/>
      <c r="CV15" s="32"/>
      <c r="CW15" s="32"/>
      <c r="CX15" s="32"/>
      <c r="CY15" s="32"/>
      <c r="CZ15" s="115"/>
    </row>
    <row r="16" spans="1:104" ht="15.75" thickBot="1" x14ac:dyDescent="0.3">
      <c r="A16">
        <v>2022</v>
      </c>
      <c r="B16">
        <v>72.058000000000007</v>
      </c>
      <c r="C16">
        <v>3.3650000000000002</v>
      </c>
      <c r="D16">
        <v>2022</v>
      </c>
      <c r="E16">
        <v>6.0940000000000003</v>
      </c>
      <c r="F16">
        <v>27.45</v>
      </c>
      <c r="G16">
        <v>1.7999999999999999E-2</v>
      </c>
      <c r="H16">
        <v>0.53900000000000003</v>
      </c>
      <c r="I16">
        <v>0.113</v>
      </c>
      <c r="J16">
        <v>2022</v>
      </c>
      <c r="K16">
        <v>120.319</v>
      </c>
      <c r="P16" s="167" t="s">
        <v>693</v>
      </c>
      <c r="Q16" s="126">
        <v>8</v>
      </c>
      <c r="R16" s="126">
        <v>3.3673999999999996E-2</v>
      </c>
      <c r="S16" s="126"/>
      <c r="T16" s="126"/>
      <c r="U16" s="126"/>
      <c r="V16" s="32"/>
      <c r="W16" s="32"/>
      <c r="X16" s="32"/>
      <c r="Y16" s="115"/>
      <c r="Z16" s="167" t="s">
        <v>693</v>
      </c>
      <c r="AA16" s="126">
        <v>8</v>
      </c>
      <c r="AB16" s="126">
        <v>3.3673999999999996E-2</v>
      </c>
      <c r="AC16" s="126"/>
      <c r="AD16" s="126"/>
      <c r="AE16" s="126"/>
      <c r="AF16" s="32"/>
      <c r="AG16" s="32"/>
      <c r="AH16" s="32"/>
      <c r="AI16" s="115"/>
      <c r="AN16" s="166" t="s">
        <v>693</v>
      </c>
      <c r="AO16" s="125">
        <v>8</v>
      </c>
      <c r="AP16" s="125">
        <v>40.529735555555554</v>
      </c>
      <c r="AQ16" s="125"/>
      <c r="AR16" s="125"/>
      <c r="AS16" s="125"/>
      <c r="AT16" s="32"/>
      <c r="AU16" s="32"/>
      <c r="AV16" s="32"/>
      <c r="AW16" s="115"/>
      <c r="AX16" s="167" t="s">
        <v>693</v>
      </c>
      <c r="AY16" s="126">
        <v>8</v>
      </c>
      <c r="AZ16" s="126">
        <v>40.529735555555554</v>
      </c>
      <c r="BA16" s="126"/>
      <c r="BB16" s="126"/>
      <c r="BC16" s="126"/>
      <c r="BD16" s="32"/>
      <c r="BE16" s="32"/>
      <c r="BF16" s="32"/>
      <c r="BG16" s="115"/>
      <c r="BJ16" s="166" t="s">
        <v>693</v>
      </c>
      <c r="BK16" s="125">
        <v>8</v>
      </c>
      <c r="BL16" s="125">
        <v>0.29484800000000005</v>
      </c>
      <c r="BM16" s="125"/>
      <c r="BN16" s="125"/>
      <c r="BO16" s="125"/>
      <c r="BP16" s="32"/>
      <c r="BQ16" s="32"/>
      <c r="BR16" s="115"/>
      <c r="BS16" s="166" t="s">
        <v>693</v>
      </c>
      <c r="BT16" s="125">
        <v>8</v>
      </c>
      <c r="BU16" s="125">
        <v>0.29484800000000005</v>
      </c>
      <c r="BV16" s="125"/>
      <c r="BW16" s="125"/>
      <c r="BX16" s="125"/>
      <c r="BY16" s="32"/>
      <c r="BZ16" s="32"/>
      <c r="CA16" s="32"/>
      <c r="CB16" s="32"/>
      <c r="CC16" s="115"/>
      <c r="CG16" s="167" t="s">
        <v>693</v>
      </c>
      <c r="CH16" s="126">
        <v>8</v>
      </c>
      <c r="CI16" s="126">
        <v>3.464155555555555E-2</v>
      </c>
      <c r="CJ16" s="126"/>
      <c r="CK16" s="126"/>
      <c r="CL16" s="126"/>
      <c r="CM16" s="32"/>
      <c r="CN16" s="32"/>
      <c r="CO16" s="115"/>
      <c r="CP16" s="126" t="s">
        <v>693</v>
      </c>
      <c r="CQ16" s="126">
        <v>8</v>
      </c>
      <c r="CR16" s="126">
        <v>3.464155555555555E-2</v>
      </c>
      <c r="CS16" s="126"/>
      <c r="CT16" s="126"/>
      <c r="CU16" s="126"/>
      <c r="CV16" s="32"/>
      <c r="CW16" s="32"/>
      <c r="CX16" s="32"/>
      <c r="CY16" s="32"/>
      <c r="CZ16" s="115"/>
    </row>
    <row r="17" spans="1:104" ht="15.75" thickBot="1" x14ac:dyDescent="0.3">
      <c r="A17">
        <v>2023</v>
      </c>
      <c r="B17">
        <v>67.307000000000002</v>
      </c>
      <c r="C17">
        <v>6.0940000000000003</v>
      </c>
      <c r="D17">
        <v>2023</v>
      </c>
      <c r="E17">
        <v>4.5279999999999996</v>
      </c>
      <c r="F17">
        <v>32.273000000000003</v>
      </c>
      <c r="G17">
        <v>0.185</v>
      </c>
      <c r="H17">
        <v>0.65700000000000003</v>
      </c>
      <c r="I17">
        <v>0.153</v>
      </c>
      <c r="J17">
        <v>2023</v>
      </c>
      <c r="K17">
        <v>72.058000000000007</v>
      </c>
      <c r="P17" s="114"/>
      <c r="Q17" s="32"/>
      <c r="R17" s="32"/>
      <c r="S17" s="32"/>
      <c r="T17" s="32"/>
      <c r="U17" s="32"/>
      <c r="V17" s="32"/>
      <c r="W17" s="32"/>
      <c r="X17" s="32"/>
      <c r="Y17" s="115"/>
      <c r="Z17" s="114"/>
      <c r="AA17" s="32"/>
      <c r="AB17" s="32"/>
      <c r="AC17" s="32"/>
      <c r="AD17" s="32"/>
      <c r="AE17" s="32"/>
      <c r="AF17" s="32"/>
      <c r="AG17" s="32"/>
      <c r="AH17" s="32"/>
      <c r="AI17" s="115"/>
      <c r="AN17" s="114"/>
      <c r="AO17" s="32"/>
      <c r="AP17" s="32"/>
      <c r="AQ17" s="32"/>
      <c r="AR17" s="32"/>
      <c r="AS17" s="32"/>
      <c r="AT17" s="32"/>
      <c r="AU17" s="32"/>
      <c r="AV17" s="32"/>
      <c r="AW17" s="115"/>
      <c r="AX17" s="114"/>
      <c r="AY17" s="32"/>
      <c r="AZ17" s="32"/>
      <c r="BA17" s="32"/>
      <c r="BB17" s="32"/>
      <c r="BC17" s="32"/>
      <c r="BD17" s="32"/>
      <c r="BE17" s="32"/>
      <c r="BF17" s="32"/>
      <c r="BG17" s="115"/>
      <c r="BJ17" s="114"/>
      <c r="BK17" s="32"/>
      <c r="BL17" s="32"/>
      <c r="BM17" s="32"/>
      <c r="BN17" s="32"/>
      <c r="BO17" s="32"/>
      <c r="BP17" s="32"/>
      <c r="BQ17" s="32"/>
      <c r="BR17" s="115"/>
      <c r="BS17" s="114"/>
      <c r="BT17" s="32"/>
      <c r="BU17" s="32"/>
      <c r="BV17" s="32"/>
      <c r="BW17" s="32"/>
      <c r="BX17" s="32"/>
      <c r="BY17" s="32"/>
      <c r="BZ17" s="32"/>
      <c r="CA17" s="32"/>
      <c r="CB17" s="32"/>
      <c r="CC17" s="115"/>
      <c r="CG17" s="114"/>
      <c r="CH17" s="32"/>
      <c r="CI17" s="32"/>
      <c r="CJ17" s="32"/>
      <c r="CK17" s="32"/>
      <c r="CL17" s="32"/>
      <c r="CM17" s="32"/>
      <c r="CN17" s="32"/>
      <c r="CO17" s="115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115"/>
    </row>
    <row r="18" spans="1:104" x14ac:dyDescent="0.25">
      <c r="A18">
        <v>2024</v>
      </c>
      <c r="B18">
        <v>85.998999999999995</v>
      </c>
      <c r="C18">
        <v>4.5279999999999996</v>
      </c>
      <c r="D18">
        <v>2024</v>
      </c>
      <c r="E18">
        <v>4.2530000000000001</v>
      </c>
      <c r="F18">
        <v>38.033999999999999</v>
      </c>
      <c r="G18">
        <v>0</v>
      </c>
      <c r="H18">
        <v>0.60399999999999998</v>
      </c>
      <c r="I18">
        <v>0.13600000000000001</v>
      </c>
      <c r="J18">
        <v>2024</v>
      </c>
      <c r="K18">
        <v>67.307000000000002</v>
      </c>
      <c r="P18" s="168"/>
      <c r="Q18" s="127" t="s">
        <v>700</v>
      </c>
      <c r="R18" s="127" t="s">
        <v>688</v>
      </c>
      <c r="S18" s="127" t="s">
        <v>701</v>
      </c>
      <c r="T18" s="127" t="s">
        <v>702</v>
      </c>
      <c r="U18" s="127" t="s">
        <v>703</v>
      </c>
      <c r="V18" s="127" t="s">
        <v>704</v>
      </c>
      <c r="W18" s="127" t="s">
        <v>705</v>
      </c>
      <c r="X18" s="127" t="s">
        <v>706</v>
      </c>
      <c r="Y18" s="115"/>
      <c r="Z18" s="168"/>
      <c r="AA18" s="127" t="s">
        <v>700</v>
      </c>
      <c r="AB18" s="127" t="s">
        <v>688</v>
      </c>
      <c r="AC18" s="127" t="s">
        <v>701</v>
      </c>
      <c r="AD18" s="127" t="s">
        <v>702</v>
      </c>
      <c r="AE18" s="127" t="s">
        <v>703</v>
      </c>
      <c r="AF18" s="127" t="s">
        <v>704</v>
      </c>
      <c r="AG18" s="127" t="s">
        <v>705</v>
      </c>
      <c r="AH18" s="127" t="s">
        <v>706</v>
      </c>
      <c r="AI18" s="115"/>
      <c r="AN18" s="190"/>
      <c r="AO18" s="187" t="s">
        <v>700</v>
      </c>
      <c r="AP18" s="187" t="s">
        <v>688</v>
      </c>
      <c r="AQ18" s="187" t="s">
        <v>701</v>
      </c>
      <c r="AR18" s="187" t="s">
        <v>702</v>
      </c>
      <c r="AS18" s="187" t="s">
        <v>703</v>
      </c>
      <c r="AT18" s="187" t="s">
        <v>704</v>
      </c>
      <c r="AU18" s="187" t="s">
        <v>705</v>
      </c>
      <c r="AV18" s="187" t="s">
        <v>706</v>
      </c>
      <c r="AW18" s="115"/>
      <c r="AX18" s="168"/>
      <c r="AY18" s="127" t="s">
        <v>700</v>
      </c>
      <c r="AZ18" s="127" t="s">
        <v>688</v>
      </c>
      <c r="BA18" s="127" t="s">
        <v>701</v>
      </c>
      <c r="BB18" s="127" t="s">
        <v>702</v>
      </c>
      <c r="BC18" s="127" t="s">
        <v>703</v>
      </c>
      <c r="BD18" s="127" t="s">
        <v>704</v>
      </c>
      <c r="BE18" s="127" t="s">
        <v>705</v>
      </c>
      <c r="BF18" s="127" t="s">
        <v>706</v>
      </c>
      <c r="BG18" s="115"/>
      <c r="BJ18" s="190"/>
      <c r="BK18" s="187" t="s">
        <v>700</v>
      </c>
      <c r="BL18" s="187" t="s">
        <v>688</v>
      </c>
      <c r="BM18" s="187" t="s">
        <v>701</v>
      </c>
      <c r="BN18" s="187" t="s">
        <v>702</v>
      </c>
      <c r="BO18" s="187" t="s">
        <v>703</v>
      </c>
      <c r="BP18" s="187" t="s">
        <v>704</v>
      </c>
      <c r="BQ18" s="187" t="s">
        <v>705</v>
      </c>
      <c r="BR18" s="194" t="s">
        <v>706</v>
      </c>
      <c r="BS18" s="190"/>
      <c r="BT18" s="187" t="s">
        <v>700</v>
      </c>
      <c r="BU18" s="187" t="s">
        <v>688</v>
      </c>
      <c r="BV18" s="187" t="s">
        <v>701</v>
      </c>
      <c r="BW18" s="187" t="s">
        <v>702</v>
      </c>
      <c r="BX18" s="187" t="s">
        <v>703</v>
      </c>
      <c r="BY18" s="187" t="s">
        <v>704</v>
      </c>
      <c r="BZ18" s="187" t="s">
        <v>705</v>
      </c>
      <c r="CA18" s="187" t="s">
        <v>706</v>
      </c>
      <c r="CB18" s="32"/>
      <c r="CC18" s="115"/>
      <c r="CG18" s="168"/>
      <c r="CH18" s="127" t="s">
        <v>700</v>
      </c>
      <c r="CI18" s="127" t="s">
        <v>688</v>
      </c>
      <c r="CJ18" s="127" t="s">
        <v>701</v>
      </c>
      <c r="CK18" s="127" t="s">
        <v>702</v>
      </c>
      <c r="CL18" s="127" t="s">
        <v>703</v>
      </c>
      <c r="CM18" s="127" t="s">
        <v>704</v>
      </c>
      <c r="CN18" s="127" t="s">
        <v>705</v>
      </c>
      <c r="CO18" s="191" t="s">
        <v>706</v>
      </c>
      <c r="CP18" s="127"/>
      <c r="CQ18" s="127" t="s">
        <v>700</v>
      </c>
      <c r="CR18" s="127" t="s">
        <v>688</v>
      </c>
      <c r="CS18" s="127" t="s">
        <v>701</v>
      </c>
      <c r="CT18" s="127" t="s">
        <v>702</v>
      </c>
      <c r="CU18" s="127" t="s">
        <v>703</v>
      </c>
      <c r="CV18" s="127" t="s">
        <v>704</v>
      </c>
      <c r="CW18" s="127" t="s">
        <v>705</v>
      </c>
      <c r="CX18" s="127" t="s">
        <v>706</v>
      </c>
      <c r="CY18" s="32"/>
      <c r="CZ18" s="115"/>
    </row>
    <row r="19" spans="1:104" x14ac:dyDescent="0.25">
      <c r="A19">
        <v>2025</v>
      </c>
      <c r="C19">
        <v>4.2530000000000001</v>
      </c>
      <c r="J19">
        <v>2025</v>
      </c>
      <c r="K19">
        <v>85.998999999999995</v>
      </c>
      <c r="P19" s="166" t="s">
        <v>694</v>
      </c>
      <c r="Q19" s="125">
        <v>-29.13095076004441</v>
      </c>
      <c r="R19" s="125">
        <v>25.423943297809096</v>
      </c>
      <c r="S19" s="125">
        <v>-1.1458077300917662</v>
      </c>
      <c r="T19" s="177">
        <v>0.2955097157151278</v>
      </c>
      <c r="U19" s="125">
        <v>-91.341098918291209</v>
      </c>
      <c r="V19" s="125">
        <v>33.079197398202396</v>
      </c>
      <c r="W19" s="125">
        <v>-123.38839055491418</v>
      </c>
      <c r="X19" s="125">
        <v>65.126489034825354</v>
      </c>
      <c r="Y19" s="115"/>
      <c r="Z19" s="166" t="s">
        <v>694</v>
      </c>
      <c r="AA19" s="125">
        <v>2.6567922884737388E-2</v>
      </c>
      <c r="AB19" s="125">
        <v>5.675638448672822E-2</v>
      </c>
      <c r="AC19" s="125">
        <v>0.46810456876353651</v>
      </c>
      <c r="AD19" s="177">
        <v>0.65623065834005512</v>
      </c>
      <c r="AE19" s="125">
        <v>-0.11230994694397839</v>
      </c>
      <c r="AF19" s="125">
        <v>0.16544579271345317</v>
      </c>
      <c r="AG19" s="125">
        <v>-0.18385228735044182</v>
      </c>
      <c r="AH19" s="125">
        <v>0.23698813311991659</v>
      </c>
      <c r="AI19" s="115"/>
      <c r="AN19" s="166" t="s">
        <v>694</v>
      </c>
      <c r="AO19" s="125">
        <v>-1463.555099109125</v>
      </c>
      <c r="AP19" s="125">
        <v>492.5260285458084</v>
      </c>
      <c r="AQ19" s="125">
        <v>-2.9715284356246037</v>
      </c>
      <c r="AR19" s="129">
        <v>2.4908184739240384E-2</v>
      </c>
      <c r="AS19" s="125">
        <v>-2668.722875355229</v>
      </c>
      <c r="AT19" s="125">
        <v>-258.3873228630207</v>
      </c>
      <c r="AU19" s="125">
        <v>-3289.5598985716633</v>
      </c>
      <c r="AV19" s="125">
        <v>362.44970035341339</v>
      </c>
      <c r="AW19" s="115"/>
      <c r="AX19" s="166" t="s">
        <v>694</v>
      </c>
      <c r="AY19" s="125">
        <v>-816.09670316949348</v>
      </c>
      <c r="AZ19" s="125">
        <v>418.51530668078425</v>
      </c>
      <c r="BA19" s="125">
        <v>-1.9499805386854296</v>
      </c>
      <c r="BB19" s="177">
        <v>9.9061637720314136E-2</v>
      </c>
      <c r="BC19" s="125">
        <v>-1840.166766972276</v>
      </c>
      <c r="BD19" s="125">
        <v>207.97336063328896</v>
      </c>
      <c r="BE19" s="125">
        <v>-2367.7120785111665</v>
      </c>
      <c r="BF19" s="125">
        <v>735.51867217217966</v>
      </c>
      <c r="BG19" s="115"/>
      <c r="BJ19" s="166" t="s">
        <v>694</v>
      </c>
      <c r="BK19" s="125">
        <v>0.21363277809321923</v>
      </c>
      <c r="BL19" s="125">
        <v>7.5945699253723742E-2</v>
      </c>
      <c r="BM19" s="125">
        <v>2.8129674253113741</v>
      </c>
      <c r="BN19" s="129">
        <v>2.6034755848509689E-2</v>
      </c>
      <c r="BO19" s="125">
        <v>3.4049735833692002E-2</v>
      </c>
      <c r="BP19" s="125">
        <v>0.39321582035274649</v>
      </c>
      <c r="BQ19" s="125">
        <v>-5.2137927950790919E-2</v>
      </c>
      <c r="BR19" s="192">
        <v>0.47940348413722939</v>
      </c>
      <c r="BS19" s="166" t="s">
        <v>694</v>
      </c>
      <c r="BT19" s="125">
        <v>-107.7570368386617</v>
      </c>
      <c r="BU19" s="125">
        <v>36.552876270702292</v>
      </c>
      <c r="BV19" s="125">
        <v>-2.9479769537323843</v>
      </c>
      <c r="BW19" s="129">
        <v>2.5680292058694536E-2</v>
      </c>
      <c r="BX19" s="125">
        <v>-197.19870297887888</v>
      </c>
      <c r="BY19" s="125">
        <v>-18.315370698444525</v>
      </c>
      <c r="BZ19" s="125">
        <v>-243.27419458468097</v>
      </c>
      <c r="CA19" s="125">
        <v>27.760120907357575</v>
      </c>
      <c r="CB19" s="32"/>
      <c r="CC19" s="115"/>
      <c r="CG19" s="166" t="s">
        <v>694</v>
      </c>
      <c r="CH19" s="125">
        <v>-5.1058884841561012</v>
      </c>
      <c r="CI19" s="125">
        <v>13.556239700443824</v>
      </c>
      <c r="CJ19" s="125">
        <v>-0.3766448954121796</v>
      </c>
      <c r="CK19" s="177">
        <v>0.7218921215078915</v>
      </c>
      <c r="CL19" s="125">
        <v>-39.953312017648877</v>
      </c>
      <c r="CM19" s="125">
        <v>29.741535049336672</v>
      </c>
      <c r="CN19" s="125">
        <v>-59.766585275693494</v>
      </c>
      <c r="CO19" s="192">
        <v>49.554808307381286</v>
      </c>
      <c r="CP19" s="125" t="s">
        <v>694</v>
      </c>
      <c r="CQ19" s="125">
        <v>-5.9360599646857116E-2</v>
      </c>
      <c r="CR19" s="125">
        <v>1.7985556453934945E-2</v>
      </c>
      <c r="CS19" s="125">
        <v>-3.3004594436037031</v>
      </c>
      <c r="CT19" s="129">
        <v>1.3112425657209589E-2</v>
      </c>
      <c r="CU19" s="125">
        <v>-0.10188968261622282</v>
      </c>
      <c r="CV19" s="125">
        <v>-1.6831516677491415E-2</v>
      </c>
      <c r="CW19" s="125">
        <v>-0.12230075405095683</v>
      </c>
      <c r="CX19" s="125">
        <v>3.5795547572426076E-3</v>
      </c>
      <c r="CY19" s="32"/>
      <c r="CZ19" s="115"/>
    </row>
    <row r="20" spans="1:104" ht="15.75" thickBot="1" x14ac:dyDescent="0.3">
      <c r="P20" s="166" t="s">
        <v>718</v>
      </c>
      <c r="Q20" s="125">
        <v>1.4470390870236197E-2</v>
      </c>
      <c r="R20" s="125">
        <v>1.2607750086050591E-2</v>
      </c>
      <c r="S20" s="125">
        <v>1.1477377622075853</v>
      </c>
      <c r="T20" s="177">
        <v>0.29477138453029722</v>
      </c>
      <c r="U20" s="125">
        <v>-1.6379662231595003E-2</v>
      </c>
      <c r="V20" s="125">
        <v>4.5320443972067401E-2</v>
      </c>
      <c r="W20" s="125">
        <v>-3.2271935084647665E-2</v>
      </c>
      <c r="X20" s="125">
        <v>6.1212716825120056E-2</v>
      </c>
      <c r="Y20" s="115"/>
      <c r="Z20" s="166" t="s">
        <v>49</v>
      </c>
      <c r="AA20" s="125">
        <v>-5.0316598142256938E-4</v>
      </c>
      <c r="AB20" s="125">
        <v>8.9468544026585761E-4</v>
      </c>
      <c r="AC20" s="125">
        <v>-0.56239428829092442</v>
      </c>
      <c r="AD20" s="177">
        <v>0.59421983854653249</v>
      </c>
      <c r="AE20" s="125">
        <v>-2.6923823882559514E-3</v>
      </c>
      <c r="AF20" s="125">
        <v>1.6860504254108126E-3</v>
      </c>
      <c r="AG20" s="125">
        <v>-3.8201478529355068E-3</v>
      </c>
      <c r="AH20" s="125">
        <v>2.8138158900903681E-3</v>
      </c>
      <c r="AI20" s="115"/>
      <c r="AN20" s="166" t="s">
        <v>718</v>
      </c>
      <c r="AO20" s="125">
        <v>0.72591973788290687</v>
      </c>
      <c r="AP20" s="125">
        <v>0.24424397923022764</v>
      </c>
      <c r="AQ20" s="125">
        <v>2.9721090369177339</v>
      </c>
      <c r="AR20" s="129">
        <v>2.4889470848288173E-2</v>
      </c>
      <c r="AS20" s="125">
        <v>0.12827625053365699</v>
      </c>
      <c r="AT20" s="125">
        <v>1.3235632252321567</v>
      </c>
      <c r="AU20" s="125">
        <v>-0.17959723475510658</v>
      </c>
      <c r="AV20" s="125">
        <v>1.6314367105209202</v>
      </c>
      <c r="AW20" s="115"/>
      <c r="AX20" s="166" t="s">
        <v>718</v>
      </c>
      <c r="AY20" s="125">
        <v>0.40461641343221094</v>
      </c>
      <c r="AZ20" s="125">
        <v>0.20747508103495324</v>
      </c>
      <c r="BA20" s="125">
        <v>1.9501928203322181</v>
      </c>
      <c r="BB20" s="177">
        <v>9.9032487887107765E-2</v>
      </c>
      <c r="BC20" s="125">
        <v>-0.10305682116947906</v>
      </c>
      <c r="BD20" s="125">
        <v>0.91228964803390089</v>
      </c>
      <c r="BE20" s="125">
        <v>-0.364582515723404</v>
      </c>
      <c r="BF20" s="125">
        <v>1.1738153425878259</v>
      </c>
      <c r="BG20" s="115"/>
      <c r="BJ20" s="166" t="s">
        <v>753</v>
      </c>
      <c r="BK20" s="125">
        <v>4.2284910955812409E-3</v>
      </c>
      <c r="BL20" s="125">
        <v>1.322968397622006E-3</v>
      </c>
      <c r="BM20" s="125">
        <v>3.1962147419256728</v>
      </c>
      <c r="BN20" s="129">
        <v>1.5145251645763505E-2</v>
      </c>
      <c r="BO20" s="125">
        <v>1.1001679384733992E-3</v>
      </c>
      <c r="BP20" s="125">
        <v>7.3568142526890829E-3</v>
      </c>
      <c r="BQ20" s="125">
        <v>-4.0121471481951651E-4</v>
      </c>
      <c r="BR20" s="192">
        <v>8.8581969059819982E-3</v>
      </c>
      <c r="BS20" s="166" t="s">
        <v>718</v>
      </c>
      <c r="BT20" s="125">
        <v>5.352551282025983E-2</v>
      </c>
      <c r="BU20" s="125">
        <v>1.8120749337631772E-2</v>
      </c>
      <c r="BV20" s="125">
        <v>2.953824470663704</v>
      </c>
      <c r="BW20" s="129">
        <v>2.5486199346105604E-2</v>
      </c>
      <c r="BX20" s="125">
        <v>9.1856365143812846E-3</v>
      </c>
      <c r="BY20" s="125">
        <v>9.7865389126138375E-2</v>
      </c>
      <c r="BZ20" s="125">
        <v>-1.3655861041478631E-2</v>
      </c>
      <c r="CA20" s="125">
        <v>0.12070688668199829</v>
      </c>
      <c r="CB20" s="32"/>
      <c r="CC20" s="115"/>
      <c r="CG20" s="166" t="s">
        <v>718</v>
      </c>
      <c r="CH20" s="125">
        <v>2.496560008930491E-3</v>
      </c>
      <c r="CI20" s="125">
        <v>6.7281487277928787E-3</v>
      </c>
      <c r="CJ20" s="125">
        <v>0.37106195328554659</v>
      </c>
      <c r="CK20" s="177">
        <v>0.72579429287855701</v>
      </c>
      <c r="CL20" s="125">
        <v>-1.4798696898193464E-2</v>
      </c>
      <c r="CM20" s="125">
        <v>1.9791816916054444E-2</v>
      </c>
      <c r="CN20" s="125">
        <v>-2.4632297676155598E-2</v>
      </c>
      <c r="CO20" s="192">
        <v>2.9625417694016578E-2</v>
      </c>
      <c r="CP20" s="126" t="s">
        <v>728</v>
      </c>
      <c r="CQ20" s="126">
        <v>5.8259821467071702E-3</v>
      </c>
      <c r="CR20" s="126">
        <v>8.358359607699631E-4</v>
      </c>
      <c r="CS20" s="126">
        <v>6.9702458618080252</v>
      </c>
      <c r="CT20" s="133">
        <v>2.1723229103703546E-4</v>
      </c>
      <c r="CU20" s="126">
        <v>3.8495441635171598E-3</v>
      </c>
      <c r="CV20" s="126">
        <v>7.8024201298971807E-3</v>
      </c>
      <c r="CW20" s="126">
        <v>2.9009881626677813E-3</v>
      </c>
      <c r="CX20" s="126">
        <v>8.75097613074656E-3</v>
      </c>
      <c r="CY20" s="32"/>
      <c r="CZ20" s="115"/>
    </row>
    <row r="21" spans="1:104" ht="15.75" thickBot="1" x14ac:dyDescent="0.3">
      <c r="A21" s="29" t="s">
        <v>745</v>
      </c>
      <c r="P21" s="167" t="s">
        <v>49</v>
      </c>
      <c r="Q21" s="126">
        <v>-1.0240357081692237E-3</v>
      </c>
      <c r="R21" s="126">
        <v>1.073438129724241E-3</v>
      </c>
      <c r="S21" s="126">
        <v>-0.95397739265353987</v>
      </c>
      <c r="T21" s="175">
        <v>0.37693141205062825</v>
      </c>
      <c r="U21" s="126">
        <v>-3.6506441892623603E-3</v>
      </c>
      <c r="V21" s="126">
        <v>1.6025727729239128E-3</v>
      </c>
      <c r="W21" s="126">
        <v>-5.0037303094673385E-3</v>
      </c>
      <c r="X21" s="126">
        <v>2.9556588931288915E-3</v>
      </c>
      <c r="Y21" s="115"/>
      <c r="Z21" s="167" t="s">
        <v>728</v>
      </c>
      <c r="AA21" s="126">
        <v>2.2655088376230771E-3</v>
      </c>
      <c r="AB21" s="126">
        <v>2.725242201198682E-3</v>
      </c>
      <c r="AC21" s="126">
        <v>0.83130550254454671</v>
      </c>
      <c r="AD21" s="175">
        <v>0.4376256778831451</v>
      </c>
      <c r="AE21" s="126">
        <v>-4.4029186017303821E-3</v>
      </c>
      <c r="AF21" s="126">
        <v>8.9339362769765354E-3</v>
      </c>
      <c r="AG21" s="126">
        <v>-7.8381304639977382E-3</v>
      </c>
      <c r="AH21" s="126">
        <v>1.2369148139243894E-2</v>
      </c>
      <c r="AI21" s="115"/>
      <c r="AN21" s="167" t="s">
        <v>49</v>
      </c>
      <c r="AO21" s="126">
        <v>-1.9451948532309422E-3</v>
      </c>
      <c r="AP21" s="126">
        <v>2.0795209174663355E-2</v>
      </c>
      <c r="AQ21" s="126">
        <v>-9.3540528344429705E-2</v>
      </c>
      <c r="AR21" s="126">
        <v>0.92851952972848084</v>
      </c>
      <c r="AS21" s="126">
        <v>-5.2829238629753306E-2</v>
      </c>
      <c r="AT21" s="126">
        <v>4.8938848923291423E-2</v>
      </c>
      <c r="AU21" s="126">
        <v>-7.9041936056688009E-2</v>
      </c>
      <c r="AV21" s="126">
        <v>7.5151546350226126E-2</v>
      </c>
      <c r="AW21" s="170"/>
      <c r="AX21" s="167" t="s">
        <v>753</v>
      </c>
      <c r="AY21" s="126">
        <v>3.1161909230267969E-2</v>
      </c>
      <c r="AZ21" s="126">
        <v>1.6246335091383787E-2</v>
      </c>
      <c r="BA21" s="126">
        <v>1.9180885445847187</v>
      </c>
      <c r="BB21" s="175">
        <v>0.10354017741471683</v>
      </c>
      <c r="BC21" s="126">
        <v>-8.5914406425114144E-3</v>
      </c>
      <c r="BD21" s="126">
        <v>7.0915259103047357E-2</v>
      </c>
      <c r="BE21" s="126">
        <v>-2.9070208731360351E-2</v>
      </c>
      <c r="BF21" s="126">
        <v>9.1394027191896293E-2</v>
      </c>
      <c r="BG21" s="170"/>
      <c r="BJ21" s="116"/>
      <c r="BK21" s="169"/>
      <c r="BL21" s="169"/>
      <c r="BM21" s="169"/>
      <c r="BN21" s="169"/>
      <c r="BO21" s="169"/>
      <c r="BP21" s="169"/>
      <c r="BQ21" s="169"/>
      <c r="BR21" s="170"/>
      <c r="BS21" s="167" t="s">
        <v>753</v>
      </c>
      <c r="BT21" s="126">
        <v>1.0179478660914927E-3</v>
      </c>
      <c r="BU21" s="126">
        <v>1.4189451782719864E-3</v>
      </c>
      <c r="BV21" s="126">
        <v>0.71739760047048862</v>
      </c>
      <c r="BW21" s="175">
        <v>0.50009215988798972</v>
      </c>
      <c r="BX21" s="126">
        <v>-2.4540859067472423E-3</v>
      </c>
      <c r="BY21" s="126">
        <v>4.4899816389302278E-3</v>
      </c>
      <c r="BZ21" s="126">
        <v>-4.2426892485577542E-3</v>
      </c>
      <c r="CA21" s="126">
        <v>6.2785849807407397E-3</v>
      </c>
      <c r="CB21" s="169"/>
      <c r="CC21" s="170"/>
      <c r="CG21" s="166" t="s">
        <v>49</v>
      </c>
      <c r="CH21" s="125">
        <v>5.0143541444650224E-4</v>
      </c>
      <c r="CI21" s="125">
        <v>3.4779587879060097E-4</v>
      </c>
      <c r="CJ21" s="125">
        <v>1.4417520305017866</v>
      </c>
      <c r="CK21" s="177">
        <v>0.20894396247175495</v>
      </c>
      <c r="CL21" s="125">
        <v>-3.9260235408178617E-4</v>
      </c>
      <c r="CM21" s="125">
        <v>1.3954731829747906E-3</v>
      </c>
      <c r="CN21" s="125">
        <v>-9.00927297928444E-4</v>
      </c>
      <c r="CO21" s="192">
        <v>1.9037981268214485E-3</v>
      </c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115"/>
    </row>
    <row r="22" spans="1:104" ht="15.75" thickBot="1" x14ac:dyDescent="0.3">
      <c r="A22" t="s">
        <v>718</v>
      </c>
      <c r="B22">
        <v>2025</v>
      </c>
      <c r="C22">
        <v>2026</v>
      </c>
      <c r="D22">
        <v>2027</v>
      </c>
      <c r="E22">
        <v>2028</v>
      </c>
      <c r="F22">
        <v>2029</v>
      </c>
      <c r="G22">
        <v>2030</v>
      </c>
      <c r="H22">
        <v>2031</v>
      </c>
      <c r="I22">
        <v>2032</v>
      </c>
      <c r="J22">
        <v>2033</v>
      </c>
      <c r="K22">
        <v>2034</v>
      </c>
      <c r="P22" s="116"/>
      <c r="Q22" s="169"/>
      <c r="R22" s="169"/>
      <c r="S22" s="169"/>
      <c r="T22" s="169"/>
      <c r="U22" s="169"/>
      <c r="V22" s="169"/>
      <c r="W22" s="169"/>
      <c r="X22" s="169"/>
      <c r="Y22" s="170"/>
      <c r="Z22" s="116"/>
      <c r="AA22" s="169"/>
      <c r="AB22" s="169"/>
      <c r="AC22" s="169"/>
      <c r="AD22" s="169"/>
      <c r="AE22" s="169"/>
      <c r="AF22" s="169"/>
      <c r="AG22" s="169"/>
      <c r="AH22" s="169"/>
      <c r="AI22" s="170"/>
      <c r="AN22" s="171" t="s">
        <v>743</v>
      </c>
      <c r="AO22" s="163"/>
      <c r="AP22" s="163"/>
      <c r="AQ22" s="163"/>
      <c r="AR22" s="163"/>
      <c r="AS22" s="163"/>
      <c r="AT22" s="163"/>
      <c r="AU22" s="163"/>
      <c r="AV22" s="163"/>
      <c r="AW22" s="113"/>
      <c r="BJ22" s="171" t="s">
        <v>751</v>
      </c>
      <c r="BK22" s="163"/>
      <c r="BL22" s="163"/>
      <c r="BM22" s="163"/>
      <c r="BN22" s="163"/>
      <c r="BO22" s="163"/>
      <c r="BP22" s="163"/>
      <c r="BQ22" s="163"/>
      <c r="BR22" s="113"/>
      <c r="BS22" s="171" t="s">
        <v>756</v>
      </c>
      <c r="BT22" s="163"/>
      <c r="BU22" s="163"/>
      <c r="BV22" s="163"/>
      <c r="BW22" s="163"/>
      <c r="BX22" s="163"/>
      <c r="BY22" s="163"/>
      <c r="BZ22" s="163"/>
      <c r="CA22" s="163"/>
      <c r="CB22" s="163"/>
      <c r="CC22" s="113"/>
      <c r="CG22" s="167" t="s">
        <v>728</v>
      </c>
      <c r="CH22" s="126">
        <v>4.5218705448560924E-3</v>
      </c>
      <c r="CI22" s="126">
        <v>1.3907060920889511E-3</v>
      </c>
      <c r="CJ22" s="126">
        <v>3.2514925839318671</v>
      </c>
      <c r="CK22" s="133">
        <v>2.2658339394336525E-2</v>
      </c>
      <c r="CL22" s="126">
        <v>9.469467258234705E-4</v>
      </c>
      <c r="CM22" s="126">
        <v>8.0967943638887152E-3</v>
      </c>
      <c r="CN22" s="126">
        <v>-1.0856552665478823E-3</v>
      </c>
      <c r="CO22" s="193">
        <v>1.0129396356260067E-2</v>
      </c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70"/>
    </row>
    <row r="23" spans="1:104" ht="15.75" thickBot="1" x14ac:dyDescent="0.3">
      <c r="A23" s="36" t="s">
        <v>730</v>
      </c>
      <c r="B23" s="50">
        <f>AVERAGE('Projeção DRE'!B9:J9)</f>
        <v>4.1333333333333333E-2</v>
      </c>
      <c r="C23" s="50">
        <f>AVERAGE('Projeção DRE'!C9:K9)</f>
        <v>4.5925925925925926E-2</v>
      </c>
      <c r="D23" s="50">
        <f>AVERAGE('Projeção DRE'!D9:L9)</f>
        <v>5.1028806584362138E-2</v>
      </c>
      <c r="E23" s="50">
        <f>AVERAGE('Projeção DRE'!E9:M9)</f>
        <v>4.8476451760402377E-2</v>
      </c>
      <c r="F23" s="50">
        <f>AVERAGE('Projeção DRE'!F9:N9)</f>
        <v>4.3307168622669305E-2</v>
      </c>
      <c r="G23" s="50">
        <f>AVERAGE('Projeção DRE'!G9:O9)</f>
        <v>4.8119076247410339E-2</v>
      </c>
      <c r="H23" s="50">
        <f>AVERAGE('Projeção DRE'!H9:P9)</f>
        <v>5.3465640274900382E-2</v>
      </c>
      <c r="I23" s="50">
        <f>AVERAGE('Projeção DRE'!I9:Q9)</f>
        <v>5.7406266972111535E-2</v>
      </c>
      <c r="J23" s="50">
        <f>AVERAGE('Projeção DRE'!J9:R9)</f>
        <v>4.3229185524568371E-2</v>
      </c>
      <c r="K23" s="50">
        <f>AVERAGE('Projeção DRE'!K9:S9)</f>
        <v>4.8032428360631527E-2</v>
      </c>
      <c r="N23" s="50"/>
      <c r="O23" s="50"/>
      <c r="P23" s="184"/>
      <c r="Q23" s="92"/>
      <c r="R23" s="92"/>
      <c r="S23" s="92"/>
      <c r="T23" s="92"/>
      <c r="U23" s="92"/>
      <c r="V23" s="92"/>
      <c r="W23" s="92"/>
      <c r="X23" s="92"/>
      <c r="Y23" s="185"/>
      <c r="Z23" s="184"/>
      <c r="AA23" s="92"/>
      <c r="AB23" s="92"/>
      <c r="AC23" s="92"/>
      <c r="AD23" s="92"/>
      <c r="AE23" s="92"/>
      <c r="AF23" s="92"/>
      <c r="AG23" s="92"/>
      <c r="AH23" s="92"/>
      <c r="AI23" s="185"/>
      <c r="AN23" s="114" t="s">
        <v>740</v>
      </c>
      <c r="AO23" s="32"/>
      <c r="AP23" s="32"/>
      <c r="AQ23" s="287" t="s">
        <v>744</v>
      </c>
      <c r="AR23" s="287"/>
      <c r="AS23" s="287"/>
      <c r="AT23" s="287"/>
      <c r="AU23" s="287"/>
      <c r="AV23" s="287"/>
      <c r="AW23" s="115"/>
      <c r="BJ23" s="114" t="s">
        <v>740</v>
      </c>
      <c r="BK23" s="32"/>
      <c r="BL23" s="32"/>
      <c r="BM23" s="32"/>
      <c r="BN23" s="32"/>
      <c r="BO23" s="32"/>
      <c r="BP23" s="32"/>
      <c r="BQ23" s="32"/>
      <c r="BR23" s="115"/>
      <c r="BS23" s="114" t="s">
        <v>740</v>
      </c>
      <c r="BT23" s="32"/>
      <c r="BU23" s="32"/>
      <c r="BV23" s="32"/>
      <c r="BW23" s="32"/>
      <c r="BX23" s="32"/>
      <c r="BY23" s="32"/>
      <c r="BZ23" s="32"/>
      <c r="CA23" s="32"/>
      <c r="CB23" s="32"/>
      <c r="CC23" s="115"/>
      <c r="CG23" s="171" t="s">
        <v>760</v>
      </c>
      <c r="CH23" s="163"/>
      <c r="CI23" s="163"/>
      <c r="CJ23" s="163"/>
      <c r="CK23" s="163"/>
      <c r="CL23" s="163"/>
      <c r="CM23" s="163"/>
      <c r="CN23" s="163"/>
      <c r="CO23" s="113"/>
    </row>
    <row r="24" spans="1:104" ht="15.75" thickBot="1" x14ac:dyDescent="0.3">
      <c r="A24" t="s">
        <v>731</v>
      </c>
      <c r="B24" s="50">
        <f t="shared" ref="B24:K24" si="0">$AO$39+($AO$40*B22)</f>
        <v>6.2400277777778683</v>
      </c>
      <c r="C24" s="50">
        <f t="shared" si="0"/>
        <v>6.9494777777779291</v>
      </c>
      <c r="D24" s="50">
        <f t="shared" si="0"/>
        <v>7.6589277777779898</v>
      </c>
      <c r="E24" s="50">
        <f t="shared" si="0"/>
        <v>8.3683777777778232</v>
      </c>
      <c r="F24" s="50">
        <f t="shared" si="0"/>
        <v>9.077827777777884</v>
      </c>
      <c r="G24" s="50">
        <f t="shared" si="0"/>
        <v>9.7872777777779447</v>
      </c>
      <c r="H24" s="50">
        <f t="shared" si="0"/>
        <v>10.496727777778005</v>
      </c>
      <c r="I24" s="50">
        <f t="shared" si="0"/>
        <v>11.206177777777839</v>
      </c>
      <c r="J24" s="50">
        <f t="shared" si="0"/>
        <v>11.9156277777779</v>
      </c>
      <c r="K24" s="50">
        <f t="shared" si="0"/>
        <v>12.62507777777796</v>
      </c>
      <c r="L24" s="50"/>
      <c r="M24" s="50"/>
      <c r="P24" s="164" t="s">
        <v>750</v>
      </c>
      <c r="Q24" s="32"/>
      <c r="R24" s="32"/>
      <c r="S24" s="32"/>
      <c r="T24" s="32"/>
      <c r="U24" s="32"/>
      <c r="V24" s="32"/>
      <c r="W24" s="32"/>
      <c r="X24" s="32"/>
      <c r="Y24" s="115"/>
      <c r="Z24" s="171" t="s">
        <v>751</v>
      </c>
      <c r="AA24" s="163"/>
      <c r="AB24" s="163"/>
      <c r="AC24" s="163"/>
      <c r="AD24" s="163"/>
      <c r="AE24" s="163"/>
      <c r="AF24" s="163"/>
      <c r="AG24" s="163"/>
      <c r="AH24" s="163"/>
      <c r="AI24" s="113"/>
      <c r="AN24" s="114"/>
      <c r="AO24" s="32"/>
      <c r="AP24" s="32"/>
      <c r="AQ24" s="287"/>
      <c r="AR24" s="287"/>
      <c r="AS24" s="287"/>
      <c r="AT24" s="287"/>
      <c r="AU24" s="287"/>
      <c r="AV24" s="287"/>
      <c r="AW24" s="115"/>
      <c r="BJ24" s="114"/>
      <c r="BK24" s="32"/>
      <c r="BL24" s="32"/>
      <c r="BM24" s="32"/>
      <c r="BN24" s="32"/>
      <c r="BO24" s="32"/>
      <c r="BP24" s="32"/>
      <c r="BQ24" s="32"/>
      <c r="BR24" s="115"/>
      <c r="BS24" s="114"/>
      <c r="BT24" s="32"/>
      <c r="BU24" s="32"/>
      <c r="BV24" s="32"/>
      <c r="BW24" s="32"/>
      <c r="BX24" s="32"/>
      <c r="BY24" s="32"/>
      <c r="BZ24" s="32"/>
      <c r="CA24" s="32"/>
      <c r="CB24" s="32"/>
      <c r="CC24" s="115"/>
      <c r="CG24" s="114" t="s">
        <v>740</v>
      </c>
      <c r="CH24" s="32"/>
      <c r="CI24" s="32"/>
      <c r="CJ24" s="32"/>
      <c r="CK24" s="32"/>
      <c r="CL24" s="32"/>
      <c r="CM24" s="32"/>
      <c r="CN24" s="32"/>
      <c r="CO24" s="115"/>
    </row>
    <row r="25" spans="1:104" ht="15.75" thickBot="1" x14ac:dyDescent="0.3">
      <c r="A25" t="s">
        <v>732</v>
      </c>
      <c r="B25" s="50">
        <f>$BK$59+($BK$60*B22)</f>
        <v>0.72975000000000989</v>
      </c>
      <c r="C25" s="50">
        <f t="shared" ref="C25:J25" si="1">$BK$59+($BK$60*C22)</f>
        <v>0.79323333333333323</v>
      </c>
      <c r="D25" s="50">
        <f t="shared" si="1"/>
        <v>0.856716666666685</v>
      </c>
      <c r="E25" s="50">
        <f t="shared" si="1"/>
        <v>0.92020000000000834</v>
      </c>
      <c r="F25" s="50">
        <f t="shared" si="1"/>
        <v>0.98368333333333169</v>
      </c>
      <c r="G25" s="50">
        <f t="shared" si="1"/>
        <v>1.0471666666666835</v>
      </c>
      <c r="H25" s="50">
        <f t="shared" si="1"/>
        <v>1.1106500000000068</v>
      </c>
      <c r="I25" s="50">
        <f t="shared" si="1"/>
        <v>1.1741333333333301</v>
      </c>
      <c r="J25" s="50">
        <f t="shared" si="1"/>
        <v>1.2376166666666819</v>
      </c>
      <c r="K25" s="50">
        <f>$BK$59+($BK$60*K22)</f>
        <v>1.3011000000000053</v>
      </c>
      <c r="P25" s="114" t="s">
        <v>740</v>
      </c>
      <c r="Q25" s="32"/>
      <c r="R25" s="32"/>
      <c r="S25" s="32"/>
      <c r="T25" s="32"/>
      <c r="U25" s="32"/>
      <c r="V25" s="32"/>
      <c r="W25" s="32"/>
      <c r="X25" s="32"/>
      <c r="Y25" s="115"/>
      <c r="Z25" s="114" t="s">
        <v>740</v>
      </c>
      <c r="AA25" s="32"/>
      <c r="AB25" s="32"/>
      <c r="AC25" s="32"/>
      <c r="AD25" s="32"/>
      <c r="AE25" s="32"/>
      <c r="AF25" s="32"/>
      <c r="AG25" s="32"/>
      <c r="AH25" s="32"/>
      <c r="AI25" s="115"/>
      <c r="AN25" s="165" t="s">
        <v>684</v>
      </c>
      <c r="AO25" s="128"/>
      <c r="AP25" s="32"/>
      <c r="AQ25" s="287"/>
      <c r="AR25" s="287"/>
      <c r="AS25" s="287"/>
      <c r="AT25" s="287"/>
      <c r="AU25" s="287"/>
      <c r="AV25" s="287"/>
      <c r="AW25" s="115"/>
      <c r="BJ25" s="165" t="s">
        <v>684</v>
      </c>
      <c r="BK25" s="128"/>
      <c r="BL25" s="32"/>
      <c r="BM25" s="32"/>
      <c r="BN25" s="32"/>
      <c r="BO25" s="32"/>
      <c r="BP25" s="32"/>
      <c r="BQ25" s="32"/>
      <c r="BR25" s="115"/>
      <c r="BS25" s="165" t="s">
        <v>684</v>
      </c>
      <c r="BT25" s="128"/>
      <c r="BU25" s="32"/>
      <c r="BV25" s="32"/>
      <c r="BW25" s="32"/>
      <c r="BX25" s="32"/>
      <c r="BY25" s="32"/>
      <c r="BZ25" s="32"/>
      <c r="CA25" s="32"/>
      <c r="CB25" s="32"/>
      <c r="CC25" s="115"/>
      <c r="CG25" s="114"/>
      <c r="CH25" s="32"/>
      <c r="CI25" s="32"/>
      <c r="CJ25" s="32"/>
      <c r="CK25" s="32"/>
      <c r="CL25" s="32"/>
      <c r="CM25" s="32"/>
      <c r="CN25" s="32"/>
      <c r="CO25" s="115"/>
    </row>
    <row r="26" spans="1:104" ht="15.75" thickBot="1" x14ac:dyDescent="0.3">
      <c r="A26" t="s">
        <v>729</v>
      </c>
      <c r="B26" s="50">
        <f>$CQ$19+($CQ$20*'Proj. Custos da receita'!B25)</f>
        <v>0.14716998195539868</v>
      </c>
      <c r="C26" s="50">
        <f>$CQ$19+($CQ$20*'Proj. Custos da receita'!C25)</f>
        <v>0.16624842279092383</v>
      </c>
      <c r="D26" s="50">
        <f>$CQ$19+($CQ$20*'Proj. Custos da receita'!D25)</f>
        <v>0.18532686362644896</v>
      </c>
      <c r="E26" s="50">
        <f>$CQ$19+($CQ$20*'Proj. Custos da receita'!E25)</f>
        <v>0.20440530446197411</v>
      </c>
      <c r="F26" s="50">
        <f>$CQ$19+($CQ$20*'Proj. Custos da receita'!F25)</f>
        <v>0.22348374529749923</v>
      </c>
      <c r="G26" s="50">
        <f>$CQ$19+($CQ$20*'Proj. Custos da receita'!G25)</f>
        <v>0.24256218613301908</v>
      </c>
      <c r="H26" s="50">
        <f>$CQ$19+($CQ$20*'Proj. Custos da receita'!H25)</f>
        <v>0.26164062696854418</v>
      </c>
      <c r="I26" s="50">
        <f>$CQ$19+($CQ$20*'Proj. Custos da receita'!I25)</f>
        <v>0.28071906780406936</v>
      </c>
      <c r="J26" s="50">
        <f>$CQ$19+($CQ$20*'Proj. Custos da receita'!J25)</f>
        <v>0.29979750863959448</v>
      </c>
      <c r="K26" s="50">
        <f>$CQ$19+($CQ$20*'Proj. Custos da receita'!K25)</f>
        <v>0.3188759494751196</v>
      </c>
      <c r="P26" s="114"/>
      <c r="Q26" s="32"/>
      <c r="R26" s="32"/>
      <c r="S26" s="32"/>
      <c r="T26" s="32"/>
      <c r="U26" s="32"/>
      <c r="V26" s="32"/>
      <c r="W26" s="32"/>
      <c r="X26" s="32"/>
      <c r="Y26" s="115"/>
      <c r="Z26" s="114"/>
      <c r="AA26" s="32"/>
      <c r="AB26" s="32"/>
      <c r="AC26" s="32"/>
      <c r="AD26" s="32"/>
      <c r="AE26" s="32"/>
      <c r="AF26" s="32"/>
      <c r="AG26" s="32"/>
      <c r="AH26" s="32"/>
      <c r="AI26" s="115"/>
      <c r="AN26" s="166" t="s">
        <v>685</v>
      </c>
      <c r="AO26" s="125">
        <v>0.863198214162473</v>
      </c>
      <c r="AP26" s="32"/>
      <c r="AQ26" s="287"/>
      <c r="AR26" s="287"/>
      <c r="AS26" s="287"/>
      <c r="AT26" s="287"/>
      <c r="AU26" s="287"/>
      <c r="AV26" s="287"/>
      <c r="AW26" s="115"/>
      <c r="BJ26" s="166" t="s">
        <v>685</v>
      </c>
      <c r="BK26" s="125">
        <v>0.56416288666459424</v>
      </c>
      <c r="BL26" s="32"/>
      <c r="BM26" s="32"/>
      <c r="BN26" s="32"/>
      <c r="BO26" s="32"/>
      <c r="BP26" s="32"/>
      <c r="BQ26" s="32"/>
      <c r="BR26" s="115"/>
      <c r="BS26" s="166" t="s">
        <v>685</v>
      </c>
      <c r="BT26" s="125">
        <v>0.91459162273142425</v>
      </c>
      <c r="BU26" s="32"/>
      <c r="BV26" s="32"/>
      <c r="BW26" s="32"/>
      <c r="BX26" s="32"/>
      <c r="BY26" s="32"/>
      <c r="BZ26" s="32"/>
      <c r="CA26" s="32"/>
      <c r="CB26" s="32"/>
      <c r="CC26" s="115"/>
      <c r="CG26" s="165" t="s">
        <v>684</v>
      </c>
      <c r="CH26" s="128"/>
      <c r="CI26" s="32"/>
      <c r="CJ26" s="32"/>
      <c r="CK26" s="32"/>
      <c r="CL26" s="32"/>
      <c r="CM26" s="32"/>
      <c r="CN26" s="32"/>
      <c r="CO26" s="115"/>
    </row>
    <row r="27" spans="1:104" x14ac:dyDescent="0.25">
      <c r="K27" s="50"/>
      <c r="P27" s="165" t="s">
        <v>684</v>
      </c>
      <c r="Q27" s="128"/>
      <c r="R27" s="32"/>
      <c r="S27" s="32"/>
      <c r="T27" s="32"/>
      <c r="U27" s="32"/>
      <c r="V27" s="32"/>
      <c r="W27" s="32"/>
      <c r="X27" s="32"/>
      <c r="Y27" s="115"/>
      <c r="Z27" s="165" t="s">
        <v>684</v>
      </c>
      <c r="AA27" s="128"/>
      <c r="AB27" s="32"/>
      <c r="AC27" s="32"/>
      <c r="AD27" s="32"/>
      <c r="AE27" s="32"/>
      <c r="AF27" s="32"/>
      <c r="AG27" s="32"/>
      <c r="AH27" s="32"/>
      <c r="AI27" s="115"/>
      <c r="AN27" s="166" t="s">
        <v>686</v>
      </c>
      <c r="AO27" s="125">
        <v>0.74511115693328256</v>
      </c>
      <c r="AP27" s="32"/>
      <c r="AQ27" s="32"/>
      <c r="AR27" s="32"/>
      <c r="AS27" s="32"/>
      <c r="AT27" s="32"/>
      <c r="AU27" s="32"/>
      <c r="AV27" s="32"/>
      <c r="AW27" s="115"/>
      <c r="BJ27" s="166" t="s">
        <v>686</v>
      </c>
      <c r="BK27" s="125">
        <v>0.31827976268972785</v>
      </c>
      <c r="BL27" s="32"/>
      <c r="BM27" s="32"/>
      <c r="BN27" s="32"/>
      <c r="BO27" s="32"/>
      <c r="BP27" s="32"/>
      <c r="BQ27" s="32"/>
      <c r="BR27" s="115"/>
      <c r="BS27" s="166" t="s">
        <v>686</v>
      </c>
      <c r="BT27" s="125">
        <v>0.83647783637049977</v>
      </c>
      <c r="BU27" s="32"/>
      <c r="BV27" s="32"/>
      <c r="BW27" s="32"/>
      <c r="BX27" s="32"/>
      <c r="BY27" s="32"/>
      <c r="BZ27" s="32"/>
      <c r="CA27" s="32"/>
      <c r="CB27" s="32"/>
      <c r="CC27" s="115"/>
      <c r="CG27" s="166" t="s">
        <v>685</v>
      </c>
      <c r="CH27" s="125">
        <v>0.95499922660181824</v>
      </c>
      <c r="CI27" s="32"/>
      <c r="CJ27" s="32"/>
      <c r="CK27" s="32"/>
      <c r="CL27" s="32"/>
      <c r="CM27" s="32"/>
      <c r="CN27" s="32"/>
      <c r="CO27" s="115"/>
    </row>
    <row r="28" spans="1:104" x14ac:dyDescent="0.25">
      <c r="P28" s="166" t="s">
        <v>685</v>
      </c>
      <c r="Q28" s="125">
        <v>0.24555465104348706</v>
      </c>
      <c r="R28" s="32"/>
      <c r="S28" s="32"/>
      <c r="T28" s="32"/>
      <c r="U28" s="32"/>
      <c r="V28" s="32"/>
      <c r="W28" s="32"/>
      <c r="X28" s="32"/>
      <c r="Y28" s="115"/>
      <c r="Z28" s="166" t="s">
        <v>685</v>
      </c>
      <c r="AA28" s="125">
        <v>6.7373071876495966E-2</v>
      </c>
      <c r="AB28" s="32"/>
      <c r="AC28" s="32"/>
      <c r="AD28" s="32"/>
      <c r="AE28" s="32"/>
      <c r="AF28" s="32"/>
      <c r="AG28" s="32"/>
      <c r="AH28" s="32"/>
      <c r="AI28" s="115"/>
      <c r="AN28" s="166" t="s">
        <v>687</v>
      </c>
      <c r="AO28" s="125">
        <v>0.70869846506660861</v>
      </c>
      <c r="AP28" s="32"/>
      <c r="AQ28" s="32"/>
      <c r="AR28" s="32"/>
      <c r="AS28" s="32"/>
      <c r="AT28" s="32"/>
      <c r="AU28" s="32"/>
      <c r="AV28" s="32"/>
      <c r="AW28" s="115"/>
      <c r="BJ28" s="166" t="s">
        <v>687</v>
      </c>
      <c r="BK28" s="125">
        <v>0.22089115735968898</v>
      </c>
      <c r="BL28" s="32"/>
      <c r="BM28" s="32"/>
      <c r="BN28" s="32"/>
      <c r="BO28" s="32"/>
      <c r="BP28" s="32"/>
      <c r="BQ28" s="32"/>
      <c r="BR28" s="115"/>
      <c r="BS28" s="166" t="s">
        <v>687</v>
      </c>
      <c r="BT28" s="125">
        <v>0.78197044849399966</v>
      </c>
      <c r="BU28" s="32"/>
      <c r="BV28" s="32"/>
      <c r="BW28" s="32"/>
      <c r="BX28" s="32"/>
      <c r="BY28" s="32"/>
      <c r="BZ28" s="32"/>
      <c r="CA28" s="32"/>
      <c r="CB28" s="32"/>
      <c r="CC28" s="115"/>
      <c r="CG28" s="166" t="s">
        <v>686</v>
      </c>
      <c r="CH28" s="125">
        <v>0.91202352281007093</v>
      </c>
      <c r="CI28" s="32"/>
      <c r="CJ28" s="32"/>
      <c r="CK28" s="32"/>
      <c r="CL28" s="32"/>
      <c r="CM28" s="32"/>
      <c r="CN28" s="32"/>
      <c r="CO28" s="115"/>
    </row>
    <row r="29" spans="1:104" x14ac:dyDescent="0.25">
      <c r="P29" s="166" t="s">
        <v>686</v>
      </c>
      <c r="Q29" s="125">
        <v>6.0297086649088699E-2</v>
      </c>
      <c r="R29" s="32"/>
      <c r="S29" s="32"/>
      <c r="T29" s="32"/>
      <c r="U29" s="32"/>
      <c r="V29" s="32"/>
      <c r="W29" s="32"/>
      <c r="X29" s="32"/>
      <c r="Y29" s="115"/>
      <c r="Z29" s="166" t="s">
        <v>686</v>
      </c>
      <c r="AA29" s="125">
        <v>4.5391308140754925E-3</v>
      </c>
      <c r="AB29" s="32"/>
      <c r="AC29" s="32"/>
      <c r="AD29" s="32"/>
      <c r="AE29" s="32"/>
      <c r="AF29" s="32"/>
      <c r="AG29" s="32"/>
      <c r="AH29" s="32"/>
      <c r="AI29" s="115"/>
      <c r="AN29" s="166" t="s">
        <v>688</v>
      </c>
      <c r="AO29" s="125">
        <v>1.2148237617951925</v>
      </c>
      <c r="AP29" s="32"/>
      <c r="AQ29" s="32"/>
      <c r="AR29" s="32"/>
      <c r="AS29" s="32"/>
      <c r="AT29" s="32"/>
      <c r="AU29" s="32"/>
      <c r="AV29" s="32"/>
      <c r="AW29" s="115"/>
      <c r="BJ29" s="166" t="s">
        <v>688</v>
      </c>
      <c r="BK29" s="125">
        <v>0.16945452341071132</v>
      </c>
      <c r="BL29" s="32"/>
      <c r="BM29" s="32"/>
      <c r="BN29" s="32"/>
      <c r="BO29" s="32"/>
      <c r="BP29" s="32"/>
      <c r="BQ29" s="32"/>
      <c r="BR29" s="115"/>
      <c r="BS29" s="166" t="s">
        <v>688</v>
      </c>
      <c r="BT29" s="125">
        <v>8.9642050123282829E-2</v>
      </c>
      <c r="BU29" s="32"/>
      <c r="BV29" s="32"/>
      <c r="BW29" s="32"/>
      <c r="BX29" s="32"/>
      <c r="BY29" s="32"/>
      <c r="BZ29" s="32"/>
      <c r="CA29" s="32"/>
      <c r="CB29" s="32"/>
      <c r="CC29" s="115"/>
      <c r="CG29" s="166" t="s">
        <v>687</v>
      </c>
      <c r="CH29" s="125">
        <v>0.88269803041342787</v>
      </c>
      <c r="CI29" s="32"/>
      <c r="CJ29" s="32"/>
      <c r="CK29" s="32"/>
      <c r="CL29" s="32"/>
      <c r="CM29" s="32"/>
      <c r="CN29" s="32"/>
      <c r="CO29" s="115"/>
    </row>
    <row r="30" spans="1:104" ht="15.75" thickBot="1" x14ac:dyDescent="0.3">
      <c r="P30" s="166" t="s">
        <v>687</v>
      </c>
      <c r="Q30" s="125">
        <v>-7.3946186686755774E-2</v>
      </c>
      <c r="R30" s="32"/>
      <c r="S30" s="32"/>
      <c r="T30" s="32"/>
      <c r="U30" s="32"/>
      <c r="V30" s="32"/>
      <c r="W30" s="32"/>
      <c r="X30" s="32"/>
      <c r="Y30" s="115"/>
      <c r="Z30" s="166" t="s">
        <v>687</v>
      </c>
      <c r="AA30" s="125">
        <v>-0.13766956478391373</v>
      </c>
      <c r="AB30" s="32"/>
      <c r="AC30" s="32"/>
      <c r="AD30" s="32"/>
      <c r="AE30" s="32"/>
      <c r="AF30" s="32"/>
      <c r="AG30" s="32"/>
      <c r="AH30" s="32"/>
      <c r="AI30" s="115"/>
      <c r="AN30" s="167" t="s">
        <v>689</v>
      </c>
      <c r="AO30" s="126">
        <v>9</v>
      </c>
      <c r="AP30" s="32"/>
      <c r="AQ30" s="32"/>
      <c r="AR30" s="32"/>
      <c r="AS30" s="32"/>
      <c r="AT30" s="32"/>
      <c r="AU30" s="32"/>
      <c r="AV30" s="32"/>
      <c r="AW30" s="115"/>
      <c r="BJ30" s="167" t="s">
        <v>689</v>
      </c>
      <c r="BK30" s="126">
        <v>9</v>
      </c>
      <c r="BL30" s="32"/>
      <c r="BM30" s="32"/>
      <c r="BN30" s="32"/>
      <c r="BO30" s="32"/>
      <c r="BP30" s="32"/>
      <c r="BQ30" s="32"/>
      <c r="BR30" s="115"/>
      <c r="BS30" s="167" t="s">
        <v>689</v>
      </c>
      <c r="BT30" s="126">
        <v>9</v>
      </c>
      <c r="BU30" s="32"/>
      <c r="BV30" s="32"/>
      <c r="BW30" s="32"/>
      <c r="BX30" s="32"/>
      <c r="BY30" s="32"/>
      <c r="BZ30" s="32"/>
      <c r="CA30" s="32"/>
      <c r="CB30" s="32"/>
      <c r="CC30" s="115"/>
      <c r="CG30" s="166" t="s">
        <v>688</v>
      </c>
      <c r="CH30" s="125">
        <v>2.2537531742100027E-2</v>
      </c>
      <c r="CI30" s="32"/>
      <c r="CJ30" s="32"/>
      <c r="CK30" s="32"/>
      <c r="CL30" s="32"/>
      <c r="CM30" s="32"/>
      <c r="CN30" s="32"/>
      <c r="CO30" s="115"/>
    </row>
    <row r="31" spans="1:104" ht="15.75" thickBot="1" x14ac:dyDescent="0.3">
      <c r="P31" s="166" t="s">
        <v>688</v>
      </c>
      <c r="Q31" s="125">
        <v>6.723472307008653E-2</v>
      </c>
      <c r="R31" s="32"/>
      <c r="S31" s="32"/>
      <c r="T31" s="32"/>
      <c r="U31" s="32"/>
      <c r="V31" s="32"/>
      <c r="W31" s="32"/>
      <c r="X31" s="32"/>
      <c r="Y31" s="115"/>
      <c r="Z31" s="166" t="s">
        <v>688</v>
      </c>
      <c r="AA31" s="125">
        <v>6.920069086047255E-2</v>
      </c>
      <c r="AB31" s="32"/>
      <c r="AC31" s="32"/>
      <c r="AD31" s="32"/>
      <c r="AE31" s="32"/>
      <c r="AF31" s="32"/>
      <c r="AG31" s="32"/>
      <c r="AH31" s="32"/>
      <c r="AI31" s="115"/>
      <c r="AN31" s="114"/>
      <c r="AO31" s="32"/>
      <c r="AP31" s="32"/>
      <c r="AQ31" s="32"/>
      <c r="AR31" s="32"/>
      <c r="AS31" s="32"/>
      <c r="AT31" s="32"/>
      <c r="AU31" s="32"/>
      <c r="AV31" s="32"/>
      <c r="AW31" s="115"/>
      <c r="BJ31" s="114"/>
      <c r="BK31" s="32"/>
      <c r="BL31" s="32"/>
      <c r="BM31" s="32"/>
      <c r="BN31" s="32"/>
      <c r="BO31" s="32"/>
      <c r="BP31" s="32"/>
      <c r="BQ31" s="32"/>
      <c r="BR31" s="115"/>
      <c r="BS31" s="114"/>
      <c r="BT31" s="32"/>
      <c r="BU31" s="32"/>
      <c r="BV31" s="32"/>
      <c r="BW31" s="32"/>
      <c r="BX31" s="32"/>
      <c r="BY31" s="32"/>
      <c r="BZ31" s="32"/>
      <c r="CA31" s="32"/>
      <c r="CB31" s="32"/>
      <c r="CC31" s="115"/>
      <c r="CG31" s="167" t="s">
        <v>689</v>
      </c>
      <c r="CH31" s="126">
        <v>9</v>
      </c>
      <c r="CI31" s="32"/>
      <c r="CJ31" s="32"/>
      <c r="CK31" s="32"/>
      <c r="CL31" s="32"/>
      <c r="CM31" s="32"/>
      <c r="CN31" s="32"/>
      <c r="CO31" s="115"/>
    </row>
    <row r="32" spans="1:104" ht="15.75" thickBot="1" x14ac:dyDescent="0.3">
      <c r="P32" s="167" t="s">
        <v>689</v>
      </c>
      <c r="Q32" s="126">
        <v>9</v>
      </c>
      <c r="R32" s="32"/>
      <c r="S32" s="32"/>
      <c r="T32" s="32"/>
      <c r="U32" s="32"/>
      <c r="V32" s="32"/>
      <c r="W32" s="32"/>
      <c r="X32" s="32"/>
      <c r="Y32" s="115"/>
      <c r="Z32" s="167" t="s">
        <v>689</v>
      </c>
      <c r="AA32" s="126">
        <v>9</v>
      </c>
      <c r="AB32" s="32"/>
      <c r="AC32" s="32"/>
      <c r="AD32" s="32"/>
      <c r="AE32" s="32"/>
      <c r="AF32" s="32"/>
      <c r="AG32" s="32"/>
      <c r="AH32" s="32"/>
      <c r="AI32" s="115"/>
      <c r="AN32" s="114" t="s">
        <v>690</v>
      </c>
      <c r="AO32" s="32"/>
      <c r="AP32" s="32"/>
      <c r="AQ32" s="32"/>
      <c r="AR32" s="32"/>
      <c r="AS32" s="32"/>
      <c r="AT32" s="32"/>
      <c r="AU32" s="32"/>
      <c r="AV32" s="32"/>
      <c r="AW32" s="115"/>
      <c r="BJ32" s="114" t="s">
        <v>690</v>
      </c>
      <c r="BK32" s="32"/>
      <c r="BL32" s="32"/>
      <c r="BM32" s="32"/>
      <c r="BN32" s="32"/>
      <c r="BO32" s="32"/>
      <c r="BP32" s="32"/>
      <c r="BQ32" s="32"/>
      <c r="BR32" s="115"/>
      <c r="BS32" s="114" t="s">
        <v>690</v>
      </c>
      <c r="BT32" s="32"/>
      <c r="BU32" s="32"/>
      <c r="BV32" s="32"/>
      <c r="BW32" s="32"/>
      <c r="BX32" s="32"/>
      <c r="BY32" s="32"/>
      <c r="BZ32" s="32"/>
      <c r="CA32" s="32"/>
      <c r="CB32" s="32"/>
      <c r="CC32" s="115"/>
      <c r="CG32" s="114"/>
      <c r="CH32" s="32"/>
      <c r="CI32" s="32"/>
      <c r="CJ32" s="32"/>
      <c r="CK32" s="32"/>
      <c r="CL32" s="32"/>
      <c r="CM32" s="32"/>
      <c r="CN32" s="32"/>
      <c r="CO32" s="115"/>
    </row>
    <row r="33" spans="16:93" ht="15.75" thickBot="1" x14ac:dyDescent="0.3">
      <c r="P33" s="114"/>
      <c r="Q33" s="32"/>
      <c r="R33" s="32"/>
      <c r="S33" s="32"/>
      <c r="T33" s="32"/>
      <c r="U33" s="32"/>
      <c r="V33" s="32"/>
      <c r="W33" s="32"/>
      <c r="X33" s="32"/>
      <c r="Y33" s="115"/>
      <c r="Z33" s="114"/>
      <c r="AA33" s="32"/>
      <c r="AB33" s="32"/>
      <c r="AC33" s="32"/>
      <c r="AD33" s="32"/>
      <c r="AE33" s="32"/>
      <c r="AF33" s="32"/>
      <c r="AG33" s="32"/>
      <c r="AH33" s="32"/>
      <c r="AI33" s="115"/>
      <c r="AN33" s="168"/>
      <c r="AO33" s="127" t="s">
        <v>695</v>
      </c>
      <c r="AP33" s="127" t="s">
        <v>696</v>
      </c>
      <c r="AQ33" s="127" t="s">
        <v>697</v>
      </c>
      <c r="AR33" s="127" t="s">
        <v>698</v>
      </c>
      <c r="AS33" s="127" t="s">
        <v>699</v>
      </c>
      <c r="AT33" s="32"/>
      <c r="AU33" s="32"/>
      <c r="AV33" s="32"/>
      <c r="AW33" s="115"/>
      <c r="BJ33" s="168"/>
      <c r="BK33" s="127" t="s">
        <v>695</v>
      </c>
      <c r="BL33" s="127" t="s">
        <v>696</v>
      </c>
      <c r="BM33" s="127" t="s">
        <v>697</v>
      </c>
      <c r="BN33" s="127" t="s">
        <v>698</v>
      </c>
      <c r="BO33" s="127" t="s">
        <v>699</v>
      </c>
      <c r="BP33" s="32"/>
      <c r="BQ33" s="32"/>
      <c r="BR33" s="115"/>
      <c r="BS33" s="168"/>
      <c r="BT33" s="127" t="s">
        <v>695</v>
      </c>
      <c r="BU33" s="127" t="s">
        <v>696</v>
      </c>
      <c r="BV33" s="127" t="s">
        <v>697</v>
      </c>
      <c r="BW33" s="127" t="s">
        <v>698</v>
      </c>
      <c r="BX33" s="127" t="s">
        <v>699</v>
      </c>
      <c r="BY33" s="32"/>
      <c r="BZ33" s="32"/>
      <c r="CA33" s="32"/>
      <c r="CB33" s="32"/>
      <c r="CC33" s="115"/>
      <c r="CG33" s="114" t="s">
        <v>690</v>
      </c>
      <c r="CH33" s="32"/>
      <c r="CI33" s="32"/>
      <c r="CJ33" s="32"/>
      <c r="CK33" s="32"/>
      <c r="CL33" s="32"/>
      <c r="CM33" s="32"/>
      <c r="CN33" s="32"/>
      <c r="CO33" s="115"/>
    </row>
    <row r="34" spans="16:93" ht="15.75" thickBot="1" x14ac:dyDescent="0.3">
      <c r="P34" s="114" t="s">
        <v>690</v>
      </c>
      <c r="Q34" s="32"/>
      <c r="R34" s="32"/>
      <c r="S34" s="32"/>
      <c r="T34" s="32"/>
      <c r="U34" s="32"/>
      <c r="V34" s="32"/>
      <c r="W34" s="32"/>
      <c r="X34" s="32"/>
      <c r="Y34" s="115"/>
      <c r="Z34" s="114" t="s">
        <v>690</v>
      </c>
      <c r="AA34" s="32"/>
      <c r="AB34" s="32"/>
      <c r="AC34" s="32"/>
      <c r="AD34" s="32"/>
      <c r="AE34" s="32"/>
      <c r="AF34" s="32"/>
      <c r="AG34" s="32"/>
      <c r="AH34" s="32"/>
      <c r="AI34" s="115"/>
      <c r="AN34" s="166" t="s">
        <v>691</v>
      </c>
      <c r="AO34" s="125">
        <v>1</v>
      </c>
      <c r="AP34" s="125">
        <v>30.199158149999995</v>
      </c>
      <c r="AQ34" s="125">
        <v>30.199158149999995</v>
      </c>
      <c r="AR34" s="125">
        <v>20.462951754886113</v>
      </c>
      <c r="AS34" s="129">
        <v>2.7204256966640861E-3</v>
      </c>
      <c r="AT34" s="32"/>
      <c r="AU34" s="32"/>
      <c r="AV34" s="32"/>
      <c r="AW34" s="115"/>
      <c r="BJ34" s="166" t="s">
        <v>691</v>
      </c>
      <c r="BK34" s="125">
        <v>1</v>
      </c>
      <c r="BL34" s="125">
        <v>9.3844151469540893E-2</v>
      </c>
      <c r="BM34" s="125">
        <v>9.3844151469540893E-2</v>
      </c>
      <c r="BN34" s="125">
        <v>3.2681417051934774</v>
      </c>
      <c r="BO34" s="177">
        <v>0.11358008453446825</v>
      </c>
      <c r="BP34" s="32"/>
      <c r="BQ34" s="32"/>
      <c r="BR34" s="115"/>
      <c r="BS34" s="166" t="s">
        <v>691</v>
      </c>
      <c r="BT34" s="125">
        <v>2</v>
      </c>
      <c r="BU34" s="125">
        <v>0.24663381709816917</v>
      </c>
      <c r="BV34" s="125">
        <v>0.12331690854908459</v>
      </c>
      <c r="BW34" s="125">
        <v>15.346136899198809</v>
      </c>
      <c r="BX34" s="129">
        <v>4.3725005670115953E-3</v>
      </c>
      <c r="BY34" s="32"/>
      <c r="BZ34" s="32"/>
      <c r="CA34" s="32"/>
      <c r="CB34" s="32"/>
      <c r="CC34" s="115"/>
      <c r="CG34" s="168"/>
      <c r="CH34" s="127" t="s">
        <v>695</v>
      </c>
      <c r="CI34" s="127" t="s">
        <v>696</v>
      </c>
      <c r="CJ34" s="127" t="s">
        <v>697</v>
      </c>
      <c r="CK34" s="127" t="s">
        <v>698</v>
      </c>
      <c r="CL34" s="127" t="s">
        <v>699</v>
      </c>
      <c r="CM34" s="32"/>
      <c r="CN34" s="32"/>
      <c r="CO34" s="115"/>
    </row>
    <row r="35" spans="16:93" x14ac:dyDescent="0.25">
      <c r="P35" s="168"/>
      <c r="Q35" s="127" t="s">
        <v>695</v>
      </c>
      <c r="R35" s="127" t="s">
        <v>696</v>
      </c>
      <c r="S35" s="127" t="s">
        <v>697</v>
      </c>
      <c r="T35" s="127" t="s">
        <v>698</v>
      </c>
      <c r="U35" s="127" t="s">
        <v>699</v>
      </c>
      <c r="V35" s="32"/>
      <c r="W35" s="32"/>
      <c r="X35" s="32"/>
      <c r="Y35" s="115"/>
      <c r="Z35" s="168"/>
      <c r="AA35" s="127" t="s">
        <v>695</v>
      </c>
      <c r="AB35" s="127" t="s">
        <v>696</v>
      </c>
      <c r="AC35" s="127" t="s">
        <v>697</v>
      </c>
      <c r="AD35" s="127" t="s">
        <v>698</v>
      </c>
      <c r="AE35" s="127" t="s">
        <v>699</v>
      </c>
      <c r="AF35" s="32"/>
      <c r="AG35" s="32"/>
      <c r="AH35" s="32"/>
      <c r="AI35" s="115"/>
      <c r="AN35" s="166" t="s">
        <v>692</v>
      </c>
      <c r="AO35" s="125">
        <v>7</v>
      </c>
      <c r="AP35" s="125">
        <v>10.330577405555559</v>
      </c>
      <c r="AQ35" s="125">
        <v>1.4757967722222227</v>
      </c>
      <c r="AR35" s="125"/>
      <c r="AS35" s="125"/>
      <c r="AT35" s="32"/>
      <c r="AU35" s="32"/>
      <c r="AV35" s="32"/>
      <c r="AW35" s="115"/>
      <c r="BJ35" s="166" t="s">
        <v>692</v>
      </c>
      <c r="BK35" s="125">
        <v>7</v>
      </c>
      <c r="BL35" s="125">
        <v>0.20100384853045916</v>
      </c>
      <c r="BM35" s="125">
        <v>2.8714835504351308E-2</v>
      </c>
      <c r="BN35" s="125"/>
      <c r="BO35" s="125"/>
      <c r="BP35" s="32"/>
      <c r="BQ35" s="32"/>
      <c r="BR35" s="115"/>
      <c r="BS35" s="166" t="s">
        <v>692</v>
      </c>
      <c r="BT35" s="125">
        <v>6</v>
      </c>
      <c r="BU35" s="125">
        <v>4.8214182901830896E-2</v>
      </c>
      <c r="BV35" s="125">
        <v>8.0356971503051499E-3</v>
      </c>
      <c r="BW35" s="125"/>
      <c r="BX35" s="125"/>
      <c r="BY35" s="32"/>
      <c r="BZ35" s="32"/>
      <c r="CA35" s="32"/>
      <c r="CB35" s="32"/>
      <c r="CC35" s="115"/>
      <c r="CG35" s="166" t="s">
        <v>691</v>
      </c>
      <c r="CH35" s="125">
        <v>2</v>
      </c>
      <c r="CI35" s="125">
        <v>3.1593913533398556E-2</v>
      </c>
      <c r="CJ35" s="125">
        <v>1.5796956766699278E-2</v>
      </c>
      <c r="CK35" s="125">
        <v>31.100024186276642</v>
      </c>
      <c r="CL35" s="129">
        <v>6.8092566414058289E-4</v>
      </c>
      <c r="CM35" s="32"/>
      <c r="CN35" s="32"/>
      <c r="CO35" s="115"/>
    </row>
    <row r="36" spans="16:93" ht="15.75" thickBot="1" x14ac:dyDescent="0.3">
      <c r="P36" s="166" t="s">
        <v>691</v>
      </c>
      <c r="Q36" s="125">
        <v>1</v>
      </c>
      <c r="R36" s="125">
        <v>2.0304440958214126E-3</v>
      </c>
      <c r="S36" s="125">
        <v>2.0304440958214126E-3</v>
      </c>
      <c r="T36" s="125">
        <v>0.44916281576537431</v>
      </c>
      <c r="U36" s="125">
        <v>0.52421890638747259</v>
      </c>
      <c r="V36" s="32"/>
      <c r="W36" s="32"/>
      <c r="X36" s="32"/>
      <c r="Y36" s="115"/>
      <c r="Z36" s="166" t="s">
        <v>691</v>
      </c>
      <c r="AA36" s="125">
        <v>1</v>
      </c>
      <c r="AB36" s="125">
        <v>1.5285069103317811E-4</v>
      </c>
      <c r="AC36" s="125">
        <v>1.5285069103317811E-4</v>
      </c>
      <c r="AD36" s="125">
        <v>3.1918799303997512E-2</v>
      </c>
      <c r="AE36" s="177">
        <v>0.86326681311993148</v>
      </c>
      <c r="AF36" s="32"/>
      <c r="AG36" s="32"/>
      <c r="AH36" s="32"/>
      <c r="AI36" s="115"/>
      <c r="AN36" s="167" t="s">
        <v>693</v>
      </c>
      <c r="AO36" s="126">
        <v>8</v>
      </c>
      <c r="AP36" s="126">
        <v>40.529735555555554</v>
      </c>
      <c r="AQ36" s="126"/>
      <c r="AR36" s="126"/>
      <c r="AS36" s="126"/>
      <c r="AT36" s="32"/>
      <c r="AU36" s="32"/>
      <c r="AV36" s="32"/>
      <c r="AW36" s="115"/>
      <c r="BJ36" s="167" t="s">
        <v>693</v>
      </c>
      <c r="BK36" s="126">
        <v>8</v>
      </c>
      <c r="BL36" s="126">
        <v>0.29484800000000005</v>
      </c>
      <c r="BM36" s="126"/>
      <c r="BN36" s="126"/>
      <c r="BO36" s="126"/>
      <c r="BP36" s="32"/>
      <c r="BQ36" s="32"/>
      <c r="BR36" s="115"/>
      <c r="BS36" s="167" t="s">
        <v>693</v>
      </c>
      <c r="BT36" s="126">
        <v>8</v>
      </c>
      <c r="BU36" s="126">
        <v>0.29484800000000005</v>
      </c>
      <c r="BV36" s="126"/>
      <c r="BW36" s="126"/>
      <c r="BX36" s="126"/>
      <c r="BY36" s="32"/>
      <c r="BZ36" s="32"/>
      <c r="CA36" s="32"/>
      <c r="CB36" s="32"/>
      <c r="CC36" s="115"/>
      <c r="CG36" s="166" t="s">
        <v>692</v>
      </c>
      <c r="CH36" s="125">
        <v>6</v>
      </c>
      <c r="CI36" s="125">
        <v>3.0476420221569973E-3</v>
      </c>
      <c r="CJ36" s="125">
        <v>5.0794033702616622E-4</v>
      </c>
      <c r="CK36" s="125"/>
      <c r="CL36" s="125"/>
      <c r="CM36" s="32"/>
      <c r="CN36" s="32"/>
      <c r="CO36" s="115"/>
    </row>
    <row r="37" spans="16:93" ht="15.75" thickBot="1" x14ac:dyDescent="0.3">
      <c r="P37" s="166" t="s">
        <v>692</v>
      </c>
      <c r="Q37" s="125">
        <v>7</v>
      </c>
      <c r="R37" s="125">
        <v>3.1643555904178583E-2</v>
      </c>
      <c r="S37" s="125">
        <v>4.5205079863112263E-3</v>
      </c>
      <c r="T37" s="125"/>
      <c r="U37" s="125"/>
      <c r="V37" s="32"/>
      <c r="W37" s="32"/>
      <c r="X37" s="32"/>
      <c r="Y37" s="115"/>
      <c r="Z37" s="166" t="s">
        <v>692</v>
      </c>
      <c r="AA37" s="125">
        <v>7</v>
      </c>
      <c r="AB37" s="125">
        <v>3.3521149308966817E-2</v>
      </c>
      <c r="AC37" s="125">
        <v>4.7887356155666885E-3</v>
      </c>
      <c r="AD37" s="125"/>
      <c r="AE37" s="125"/>
      <c r="AF37" s="32"/>
      <c r="AG37" s="32"/>
      <c r="AH37" s="32"/>
      <c r="AI37" s="115"/>
      <c r="AN37" s="114"/>
      <c r="AO37" s="32"/>
      <c r="AP37" s="32"/>
      <c r="AQ37" s="32"/>
      <c r="AR37" s="32"/>
      <c r="AS37" s="32"/>
      <c r="AT37" s="32"/>
      <c r="AU37" s="32"/>
      <c r="AV37" s="32"/>
      <c r="AW37" s="115"/>
      <c r="BJ37" s="114"/>
      <c r="BK37" s="32"/>
      <c r="BL37" s="32"/>
      <c r="BM37" s="32"/>
      <c r="BN37" s="32"/>
      <c r="BO37" s="32"/>
      <c r="BP37" s="32"/>
      <c r="BQ37" s="32"/>
      <c r="BR37" s="115"/>
      <c r="BS37" s="114"/>
      <c r="BT37" s="32"/>
      <c r="BU37" s="32"/>
      <c r="BV37" s="32"/>
      <c r="BW37" s="32"/>
      <c r="BX37" s="32"/>
      <c r="BY37" s="32"/>
      <c r="BZ37" s="32"/>
      <c r="CA37" s="32"/>
      <c r="CB37" s="32"/>
      <c r="CC37" s="115"/>
      <c r="CG37" s="167" t="s">
        <v>693</v>
      </c>
      <c r="CH37" s="126">
        <v>8</v>
      </c>
      <c r="CI37" s="126">
        <v>3.464155555555555E-2</v>
      </c>
      <c r="CJ37" s="126"/>
      <c r="CK37" s="126"/>
      <c r="CL37" s="126"/>
      <c r="CM37" s="32"/>
      <c r="CN37" s="32"/>
      <c r="CO37" s="115"/>
    </row>
    <row r="38" spans="16:93" ht="15.75" thickBot="1" x14ac:dyDescent="0.3">
      <c r="P38" s="167" t="s">
        <v>693</v>
      </c>
      <c r="Q38" s="126">
        <v>8</v>
      </c>
      <c r="R38" s="126">
        <v>3.3673999999999996E-2</v>
      </c>
      <c r="S38" s="126"/>
      <c r="T38" s="126"/>
      <c r="U38" s="126"/>
      <c r="V38" s="32"/>
      <c r="W38" s="32"/>
      <c r="X38" s="32"/>
      <c r="Y38" s="115"/>
      <c r="Z38" s="167" t="s">
        <v>693</v>
      </c>
      <c r="AA38" s="126">
        <v>8</v>
      </c>
      <c r="AB38" s="126">
        <v>3.3673999999999996E-2</v>
      </c>
      <c r="AC38" s="126"/>
      <c r="AD38" s="126"/>
      <c r="AE38" s="126"/>
      <c r="AF38" s="32"/>
      <c r="AG38" s="32"/>
      <c r="AH38" s="32"/>
      <c r="AI38" s="115"/>
      <c r="AN38" s="168"/>
      <c r="AO38" s="127" t="s">
        <v>700</v>
      </c>
      <c r="AP38" s="127" t="s">
        <v>688</v>
      </c>
      <c r="AQ38" s="127" t="s">
        <v>701</v>
      </c>
      <c r="AR38" s="127" t="s">
        <v>702</v>
      </c>
      <c r="AS38" s="127" t="s">
        <v>703</v>
      </c>
      <c r="AT38" s="127" t="s">
        <v>704</v>
      </c>
      <c r="AU38" s="127" t="s">
        <v>705</v>
      </c>
      <c r="AV38" s="127" t="s">
        <v>706</v>
      </c>
      <c r="AW38" s="115"/>
      <c r="BJ38" s="168"/>
      <c r="BK38" s="127" t="s">
        <v>700</v>
      </c>
      <c r="BL38" s="127" t="s">
        <v>688</v>
      </c>
      <c r="BM38" s="127" t="s">
        <v>701</v>
      </c>
      <c r="BN38" s="127" t="s">
        <v>702</v>
      </c>
      <c r="BO38" s="127" t="s">
        <v>703</v>
      </c>
      <c r="BP38" s="127" t="s">
        <v>704</v>
      </c>
      <c r="BQ38" s="127" t="s">
        <v>705</v>
      </c>
      <c r="BR38" s="191" t="s">
        <v>706</v>
      </c>
      <c r="BS38" s="168"/>
      <c r="BT38" s="127" t="s">
        <v>700</v>
      </c>
      <c r="BU38" s="127" t="s">
        <v>688</v>
      </c>
      <c r="BV38" s="127" t="s">
        <v>701</v>
      </c>
      <c r="BW38" s="127" t="s">
        <v>702</v>
      </c>
      <c r="BX38" s="127" t="s">
        <v>703</v>
      </c>
      <c r="BY38" s="127" t="s">
        <v>704</v>
      </c>
      <c r="BZ38" s="127" t="s">
        <v>705</v>
      </c>
      <c r="CA38" s="127" t="s">
        <v>706</v>
      </c>
      <c r="CB38" s="32"/>
      <c r="CC38" s="115"/>
      <c r="CG38" s="114"/>
      <c r="CH38" s="32"/>
      <c r="CI38" s="32"/>
      <c r="CJ38" s="32"/>
      <c r="CK38" s="32"/>
      <c r="CL38" s="32"/>
      <c r="CM38" s="32"/>
      <c r="CN38" s="32"/>
      <c r="CO38" s="115"/>
    </row>
    <row r="39" spans="16:93" ht="15.75" thickBot="1" x14ac:dyDescent="0.3">
      <c r="P39" s="114"/>
      <c r="Q39" s="32"/>
      <c r="R39" s="32"/>
      <c r="S39" s="32"/>
      <c r="T39" s="32"/>
      <c r="U39" s="32"/>
      <c r="V39" s="32"/>
      <c r="W39" s="32"/>
      <c r="X39" s="32"/>
      <c r="Y39" s="115"/>
      <c r="Z39" s="114"/>
      <c r="AA39" s="32"/>
      <c r="AB39" s="32"/>
      <c r="AC39" s="32"/>
      <c r="AD39" s="32"/>
      <c r="AE39" s="32"/>
      <c r="AF39" s="32"/>
      <c r="AG39" s="32"/>
      <c r="AH39" s="32"/>
      <c r="AI39" s="115"/>
      <c r="AN39" s="166" t="s">
        <v>694</v>
      </c>
      <c r="AO39" s="125">
        <v>-1430.3962222222219</v>
      </c>
      <c r="AP39" s="125">
        <v>316.8030667996735</v>
      </c>
      <c r="AQ39" s="125">
        <v>-4.5150958817160545</v>
      </c>
      <c r="AR39" s="129">
        <v>2.7482177436679235E-3</v>
      </c>
      <c r="AS39" s="125">
        <v>-2179.5164369556987</v>
      </c>
      <c r="AT39" s="125">
        <v>-681.27600748874488</v>
      </c>
      <c r="AU39" s="125">
        <v>-2539.0432630370924</v>
      </c>
      <c r="AV39" s="125">
        <v>-321.74918140735144</v>
      </c>
      <c r="AW39" s="115"/>
      <c r="BJ39" s="166" t="s">
        <v>694</v>
      </c>
      <c r="BK39" s="125">
        <v>0.22193117986406372</v>
      </c>
      <c r="BL39" s="125">
        <v>0.11951309310714167</v>
      </c>
      <c r="BM39" s="125">
        <v>1.8569612257052521</v>
      </c>
      <c r="BN39" s="177">
        <v>0.10568185427917198</v>
      </c>
      <c r="BO39" s="125">
        <v>-6.0672378479949968E-2</v>
      </c>
      <c r="BP39" s="125">
        <v>0.50453473820807737</v>
      </c>
      <c r="BQ39" s="125">
        <v>-0.1963028932790731</v>
      </c>
      <c r="BR39" s="192">
        <v>0.64016525300720051</v>
      </c>
      <c r="BS39" s="166" t="s">
        <v>694</v>
      </c>
      <c r="BT39" s="125">
        <v>-146.60481505641067</v>
      </c>
      <c r="BU39" s="125">
        <v>33.672140922022308</v>
      </c>
      <c r="BV39" s="125">
        <v>-4.3538905172652074</v>
      </c>
      <c r="BW39" s="129">
        <v>4.8022364250754519E-3</v>
      </c>
      <c r="BX39" s="125">
        <v>-228.99757573193057</v>
      </c>
      <c r="BY39" s="125">
        <v>-64.212054380890777</v>
      </c>
      <c r="BZ39" s="125">
        <v>-271.44185384871298</v>
      </c>
      <c r="CA39" s="125">
        <v>-21.767776264108377</v>
      </c>
      <c r="CB39" s="32"/>
      <c r="CC39" s="115"/>
      <c r="CG39" s="168"/>
      <c r="CH39" s="127" t="s">
        <v>700</v>
      </c>
      <c r="CI39" s="127" t="s">
        <v>688</v>
      </c>
      <c r="CJ39" s="127" t="s">
        <v>701</v>
      </c>
      <c r="CK39" s="127" t="s">
        <v>702</v>
      </c>
      <c r="CL39" s="127" t="s">
        <v>703</v>
      </c>
      <c r="CM39" s="127" t="s">
        <v>704</v>
      </c>
      <c r="CN39" s="127" t="s">
        <v>705</v>
      </c>
      <c r="CO39" s="191" t="s">
        <v>706</v>
      </c>
    </row>
    <row r="40" spans="16:93" ht="15.75" thickBot="1" x14ac:dyDescent="0.3">
      <c r="P40" s="168"/>
      <c r="Q40" s="127" t="s">
        <v>700</v>
      </c>
      <c r="R40" s="127" t="s">
        <v>688</v>
      </c>
      <c r="S40" s="127" t="s">
        <v>701</v>
      </c>
      <c r="T40" s="127" t="s">
        <v>702</v>
      </c>
      <c r="U40" s="127" t="s">
        <v>703</v>
      </c>
      <c r="V40" s="127" t="s">
        <v>704</v>
      </c>
      <c r="W40" s="127" t="s">
        <v>705</v>
      </c>
      <c r="X40" s="127" t="s">
        <v>706</v>
      </c>
      <c r="Y40" s="115"/>
      <c r="Z40" s="168"/>
      <c r="AA40" s="127" t="s">
        <v>700</v>
      </c>
      <c r="AB40" s="127" t="s">
        <v>688</v>
      </c>
      <c r="AC40" s="127" t="s">
        <v>701</v>
      </c>
      <c r="AD40" s="127" t="s">
        <v>702</v>
      </c>
      <c r="AE40" s="127" t="s">
        <v>703</v>
      </c>
      <c r="AF40" s="127" t="s">
        <v>704</v>
      </c>
      <c r="AG40" s="127" t="s">
        <v>705</v>
      </c>
      <c r="AH40" s="127" t="s">
        <v>706</v>
      </c>
      <c r="AI40" s="115"/>
      <c r="AN40" s="167" t="s">
        <v>718</v>
      </c>
      <c r="AO40" s="126">
        <v>0.70944999999999991</v>
      </c>
      <c r="AP40" s="126">
        <v>0.15683307326699422</v>
      </c>
      <c r="AQ40" s="126">
        <v>4.5235994246712554</v>
      </c>
      <c r="AR40" s="133">
        <v>2.7204256966640861E-3</v>
      </c>
      <c r="AS40" s="126">
        <v>0.33859871150103732</v>
      </c>
      <c r="AT40" s="126">
        <v>1.0803012884989625</v>
      </c>
      <c r="AU40" s="126">
        <v>0.16061527963000732</v>
      </c>
      <c r="AV40" s="126">
        <v>1.2582847203699925</v>
      </c>
      <c r="AW40" s="170"/>
      <c r="BJ40" s="167" t="s">
        <v>49</v>
      </c>
      <c r="BK40" s="126">
        <v>3.3671883258437562E-3</v>
      </c>
      <c r="BL40" s="126">
        <v>1.862588715641336E-3</v>
      </c>
      <c r="BM40" s="126">
        <v>1.8078002392945609</v>
      </c>
      <c r="BN40" s="175">
        <v>0.1135800845344685</v>
      </c>
      <c r="BO40" s="126">
        <v>-1.0371341219048047E-3</v>
      </c>
      <c r="BP40" s="126">
        <v>7.7715107735923175E-3</v>
      </c>
      <c r="BQ40" s="126">
        <v>-3.1509097743766088E-3</v>
      </c>
      <c r="BR40" s="193">
        <v>9.8852864260641216E-3</v>
      </c>
      <c r="BS40" s="166" t="s">
        <v>718</v>
      </c>
      <c r="BT40" s="125">
        <v>7.2811607697433056E-2</v>
      </c>
      <c r="BU40" s="125">
        <v>1.6698036674889772E-2</v>
      </c>
      <c r="BV40" s="125">
        <v>4.3604891470220526</v>
      </c>
      <c r="BW40" s="129">
        <v>4.767957589996109E-3</v>
      </c>
      <c r="BX40" s="125">
        <v>3.1952983866791927E-2</v>
      </c>
      <c r="BY40" s="125">
        <v>0.11367023152807418</v>
      </c>
      <c r="BZ40" s="125">
        <v>1.0904838627837872E-2</v>
      </c>
      <c r="CA40" s="125">
        <v>0.13471837676702825</v>
      </c>
      <c r="CB40" s="32"/>
      <c r="CC40" s="115"/>
      <c r="CG40" s="166" t="s">
        <v>694</v>
      </c>
      <c r="CH40" s="125">
        <v>-17.933658565875987</v>
      </c>
      <c r="CI40" s="125">
        <v>11.109224082540168</v>
      </c>
      <c r="CJ40" s="125">
        <v>-1.6143034322317302</v>
      </c>
      <c r="CK40" s="177">
        <v>0.1575886811931386</v>
      </c>
      <c r="CL40" s="125">
        <v>-45.116950630468622</v>
      </c>
      <c r="CM40" s="125">
        <v>9.2496334987166513</v>
      </c>
      <c r="CN40" s="125">
        <v>-59.120307224661467</v>
      </c>
      <c r="CO40" s="192">
        <v>23.252990092909492</v>
      </c>
    </row>
    <row r="41" spans="16:93" ht="15.75" thickBot="1" x14ac:dyDescent="0.3">
      <c r="P41" s="166" t="s">
        <v>694</v>
      </c>
      <c r="Q41" s="125">
        <v>1.2553454738609218E-2</v>
      </c>
      <c r="R41" s="125">
        <v>4.8438979388804149E-2</v>
      </c>
      <c r="S41" s="125">
        <v>0.25916018250191986</v>
      </c>
      <c r="T41" s="177">
        <v>0.80296770405239015</v>
      </c>
      <c r="U41" s="125">
        <v>-0.10198653064656012</v>
      </c>
      <c r="V41" s="125">
        <v>0.12709344012377854</v>
      </c>
      <c r="W41" s="125">
        <v>-0.15695794457321577</v>
      </c>
      <c r="X41" s="125">
        <v>0.18206485405043421</v>
      </c>
      <c r="Y41" s="115"/>
      <c r="Z41" s="166" t="s">
        <v>694</v>
      </c>
      <c r="AA41" s="125">
        <v>4.9017591605923228E-2</v>
      </c>
      <c r="AB41" s="125">
        <v>4.8805947716373602E-2</v>
      </c>
      <c r="AC41" s="125">
        <v>1.0043364364273706</v>
      </c>
      <c r="AD41" s="177">
        <v>0.34866365512900926</v>
      </c>
      <c r="AE41" s="125">
        <v>-6.6390135986183291E-2</v>
      </c>
      <c r="AF41" s="125">
        <v>0.16442531919802975</v>
      </c>
      <c r="AG41" s="125">
        <v>-0.12177800723888771</v>
      </c>
      <c r="AH41" s="125">
        <v>0.21981319045073416</v>
      </c>
      <c r="AI41" s="115"/>
      <c r="BJ41" s="116"/>
      <c r="BK41" s="169"/>
      <c r="BL41" s="169"/>
      <c r="BM41" s="169"/>
      <c r="BN41" s="169"/>
      <c r="BO41" s="169"/>
      <c r="BP41" s="169"/>
      <c r="BQ41" s="169"/>
      <c r="BR41" s="170"/>
      <c r="BS41" s="167" t="s">
        <v>49</v>
      </c>
      <c r="BT41" s="126">
        <v>-1.101736494629042E-3</v>
      </c>
      <c r="BU41" s="126">
        <v>1.4216897651066383E-3</v>
      </c>
      <c r="BV41" s="126">
        <v>-0.77494860107289498</v>
      </c>
      <c r="BW41" s="175">
        <v>0.46780149473533628</v>
      </c>
      <c r="BX41" s="126">
        <v>-4.5804860295199836E-3</v>
      </c>
      <c r="BY41" s="126">
        <v>2.3770130402618992E-3</v>
      </c>
      <c r="BZ41" s="126">
        <v>-6.3725489674160366E-3</v>
      </c>
      <c r="CA41" s="126">
        <v>4.1690759781579517E-3</v>
      </c>
      <c r="CB41" s="169"/>
      <c r="CC41" s="170"/>
      <c r="CG41" s="166" t="s">
        <v>718</v>
      </c>
      <c r="CH41" s="125">
        <v>8.8671060357185198E-3</v>
      </c>
      <c r="CI41" s="125">
        <v>5.5110730997132073E-3</v>
      </c>
      <c r="CJ41" s="125">
        <v>1.6089617893437047</v>
      </c>
      <c r="CK41" s="177">
        <v>0.15874973610574719</v>
      </c>
      <c r="CL41" s="125">
        <v>-4.6180040444959696E-3</v>
      </c>
      <c r="CM41" s="125">
        <v>2.2352216115933007E-2</v>
      </c>
      <c r="CN41" s="125">
        <v>-1.1564800801727436E-2</v>
      </c>
      <c r="CO41" s="192">
        <v>2.9299012873164477E-2</v>
      </c>
    </row>
    <row r="42" spans="16:93" ht="15.75" thickBot="1" x14ac:dyDescent="0.3">
      <c r="P42" s="167" t="s">
        <v>728</v>
      </c>
      <c r="Q42" s="126">
        <v>1.5086693072423481E-3</v>
      </c>
      <c r="R42" s="126">
        <v>2.2510863636526325E-3</v>
      </c>
      <c r="S42" s="126">
        <v>0.67019610246955075</v>
      </c>
      <c r="T42" s="175">
        <v>0.52421890638747159</v>
      </c>
      <c r="U42" s="126">
        <v>-3.8143041006804819E-3</v>
      </c>
      <c r="V42" s="126">
        <v>6.8316427151651777E-3</v>
      </c>
      <c r="W42" s="126">
        <v>-6.3689698232535005E-3</v>
      </c>
      <c r="X42" s="126">
        <v>9.3863084377381976E-3</v>
      </c>
      <c r="Y42" s="115"/>
      <c r="Z42" s="167" t="s">
        <v>49</v>
      </c>
      <c r="AA42" s="126">
        <v>-1.3589313081172186E-4</v>
      </c>
      <c r="AB42" s="126">
        <v>7.6063136773812045E-4</v>
      </c>
      <c r="AC42" s="126">
        <v>-0.17865833119113333</v>
      </c>
      <c r="AD42" s="175">
        <v>0.86326681311992481</v>
      </c>
      <c r="AE42" s="126">
        <v>-1.9345005094874713E-3</v>
      </c>
      <c r="AF42" s="126">
        <v>1.6627142478640275E-3</v>
      </c>
      <c r="AG42" s="126">
        <v>-2.7977098976521364E-3</v>
      </c>
      <c r="AH42" s="126">
        <v>2.5259236360286926E-3</v>
      </c>
      <c r="AI42" s="115"/>
      <c r="BJ42" s="171" t="s">
        <v>743</v>
      </c>
      <c r="BK42" s="163"/>
      <c r="BL42" s="163"/>
      <c r="BM42" s="163"/>
      <c r="BN42" s="163"/>
      <c r="BO42" s="163"/>
      <c r="BP42" s="163"/>
      <c r="BQ42" s="163"/>
      <c r="BR42" s="113"/>
      <c r="CG42" s="167" t="s">
        <v>728</v>
      </c>
      <c r="CH42" s="126">
        <v>3.8729744448979765E-3</v>
      </c>
      <c r="CI42" s="126">
        <v>1.4292570185510491E-3</v>
      </c>
      <c r="CJ42" s="126">
        <v>2.709781652025272</v>
      </c>
      <c r="CK42" s="133">
        <v>3.5116264412043179E-2</v>
      </c>
      <c r="CL42" s="126">
        <v>3.7570850787328877E-4</v>
      </c>
      <c r="CM42" s="126">
        <v>7.3702403819226638E-3</v>
      </c>
      <c r="CN42" s="126">
        <v>-1.4258930753532932E-3</v>
      </c>
      <c r="CO42" s="193">
        <v>9.1718419651492453E-3</v>
      </c>
    </row>
    <row r="43" spans="16:93" ht="15.75" thickBot="1" x14ac:dyDescent="0.3">
      <c r="P43" s="116"/>
      <c r="Q43" s="169"/>
      <c r="R43" s="169"/>
      <c r="S43" s="169"/>
      <c r="T43" s="169"/>
      <c r="U43" s="169"/>
      <c r="V43" s="169"/>
      <c r="W43" s="169"/>
      <c r="X43" s="169"/>
      <c r="Y43" s="170"/>
      <c r="Z43" s="116"/>
      <c r="AA43" s="169"/>
      <c r="AB43" s="169"/>
      <c r="AC43" s="169"/>
      <c r="AD43" s="169"/>
      <c r="AE43" s="169"/>
      <c r="AF43" s="169"/>
      <c r="AG43" s="169"/>
      <c r="AH43" s="169"/>
      <c r="AI43" s="170"/>
      <c r="BJ43" s="114" t="s">
        <v>740</v>
      </c>
      <c r="BK43" s="32"/>
      <c r="BL43" s="32"/>
      <c r="BM43" s="287" t="s">
        <v>744</v>
      </c>
      <c r="BN43" s="287"/>
      <c r="BO43" s="287"/>
      <c r="BP43" s="287"/>
      <c r="BQ43" s="287"/>
      <c r="BR43" s="287"/>
    </row>
    <row r="44" spans="16:93" ht="15.75" thickBot="1" x14ac:dyDescent="0.3">
      <c r="BJ44" s="114"/>
      <c r="BK44" s="32"/>
      <c r="BL44" s="32"/>
      <c r="BM44" s="287"/>
      <c r="BN44" s="287"/>
      <c r="BO44" s="287"/>
      <c r="BP44" s="287"/>
      <c r="BQ44" s="287"/>
      <c r="BR44" s="287"/>
    </row>
    <row r="45" spans="16:93" x14ac:dyDescent="0.25">
      <c r="BJ45" s="165" t="s">
        <v>684</v>
      </c>
      <c r="BK45" s="128"/>
      <c r="BL45" s="32"/>
      <c r="BM45" s="287"/>
      <c r="BN45" s="287"/>
      <c r="BO45" s="287"/>
      <c r="BP45" s="287"/>
      <c r="BQ45" s="287"/>
      <c r="BR45" s="287"/>
    </row>
    <row r="46" spans="16:93" x14ac:dyDescent="0.25">
      <c r="BJ46" s="166" t="s">
        <v>685</v>
      </c>
      <c r="BK46" s="125">
        <v>0.90559966742115783</v>
      </c>
      <c r="BL46" s="32"/>
      <c r="BM46" s="287"/>
      <c r="BN46" s="287"/>
      <c r="BO46" s="287"/>
      <c r="BP46" s="287"/>
      <c r="BQ46" s="287"/>
      <c r="BR46" s="287"/>
    </row>
    <row r="47" spans="16:93" x14ac:dyDescent="0.25">
      <c r="BJ47" s="166" t="s">
        <v>686</v>
      </c>
      <c r="BK47" s="125">
        <v>0.82011075763331165</v>
      </c>
      <c r="BL47" s="32"/>
      <c r="BM47" s="32"/>
      <c r="BN47" s="32"/>
      <c r="BO47" s="32"/>
      <c r="BP47" s="32"/>
      <c r="BQ47" s="32"/>
      <c r="BR47" s="115"/>
    </row>
    <row r="48" spans="16:93" x14ac:dyDescent="0.25">
      <c r="BJ48" s="166" t="s">
        <v>687</v>
      </c>
      <c r="BK48" s="125">
        <v>0.79441229443807049</v>
      </c>
      <c r="BL48" s="32"/>
      <c r="BM48" s="32"/>
      <c r="BN48" s="32"/>
      <c r="BO48" s="32"/>
      <c r="BP48" s="32"/>
      <c r="BQ48" s="32"/>
      <c r="BR48" s="115"/>
    </row>
    <row r="49" spans="62:70" x14ac:dyDescent="0.25">
      <c r="BJ49" s="166" t="s">
        <v>688</v>
      </c>
      <c r="BK49" s="125">
        <v>8.70467717735154E-2</v>
      </c>
      <c r="BL49" s="32"/>
      <c r="BM49" s="32"/>
      <c r="BN49" s="32"/>
      <c r="BO49" s="32"/>
      <c r="BP49" s="32"/>
      <c r="BQ49" s="32"/>
      <c r="BR49" s="115"/>
    </row>
    <row r="50" spans="62:70" ht="15.75" thickBot="1" x14ac:dyDescent="0.3">
      <c r="BJ50" s="167" t="s">
        <v>689</v>
      </c>
      <c r="BK50" s="126">
        <v>9</v>
      </c>
      <c r="BL50" s="32"/>
      <c r="BM50" s="32"/>
      <c r="BN50" s="32"/>
      <c r="BO50" s="32"/>
      <c r="BP50" s="32"/>
      <c r="BQ50" s="32"/>
      <c r="BR50" s="115"/>
    </row>
    <row r="51" spans="62:70" x14ac:dyDescent="0.25">
      <c r="BJ51" s="114"/>
      <c r="BK51" s="32"/>
      <c r="BL51" s="32"/>
      <c r="BM51" s="32"/>
      <c r="BN51" s="32"/>
      <c r="BO51" s="32"/>
      <c r="BP51" s="32"/>
      <c r="BQ51" s="32"/>
      <c r="BR51" s="115"/>
    </row>
    <row r="52" spans="62:70" ht="15.75" thickBot="1" x14ac:dyDescent="0.3">
      <c r="BJ52" s="114" t="s">
        <v>690</v>
      </c>
      <c r="BK52" s="32"/>
      <c r="BL52" s="32"/>
      <c r="BM52" s="32"/>
      <c r="BN52" s="32"/>
      <c r="BO52" s="32"/>
      <c r="BP52" s="32"/>
      <c r="BQ52" s="32"/>
      <c r="BR52" s="115"/>
    </row>
    <row r="53" spans="62:70" x14ac:dyDescent="0.25">
      <c r="BJ53" s="168"/>
      <c r="BK53" s="127" t="s">
        <v>695</v>
      </c>
      <c r="BL53" s="127" t="s">
        <v>696</v>
      </c>
      <c r="BM53" s="127" t="s">
        <v>697</v>
      </c>
      <c r="BN53" s="127" t="s">
        <v>698</v>
      </c>
      <c r="BO53" s="127" t="s">
        <v>699</v>
      </c>
      <c r="BP53" s="32"/>
      <c r="BQ53" s="32"/>
      <c r="BR53" s="115"/>
    </row>
    <row r="54" spans="62:70" x14ac:dyDescent="0.25">
      <c r="BJ54" s="166" t="s">
        <v>691</v>
      </c>
      <c r="BK54" s="125">
        <v>1</v>
      </c>
      <c r="BL54" s="125">
        <v>0.24180801666666671</v>
      </c>
      <c r="BM54" s="125">
        <v>0.24180801666666671</v>
      </c>
      <c r="BN54" s="125">
        <v>31.912832740332057</v>
      </c>
      <c r="BO54" s="129">
        <v>7.7517031358374355E-4</v>
      </c>
      <c r="BP54" s="32"/>
      <c r="BQ54" s="32"/>
      <c r="BR54" s="115"/>
    </row>
    <row r="55" spans="62:70" x14ac:dyDescent="0.25">
      <c r="BJ55" s="166" t="s">
        <v>692</v>
      </c>
      <c r="BK55" s="125">
        <v>7</v>
      </c>
      <c r="BL55" s="125">
        <v>5.3039983333333346E-2</v>
      </c>
      <c r="BM55" s="125">
        <v>7.5771404761904781E-3</v>
      </c>
      <c r="BN55" s="125"/>
      <c r="BO55" s="125"/>
      <c r="BP55" s="32"/>
      <c r="BQ55" s="32"/>
      <c r="BR55" s="115"/>
    </row>
    <row r="56" spans="62:70" ht="15.75" thickBot="1" x14ac:dyDescent="0.3">
      <c r="BJ56" s="167" t="s">
        <v>693</v>
      </c>
      <c r="BK56" s="126">
        <v>8</v>
      </c>
      <c r="BL56" s="126">
        <v>0.29484800000000005</v>
      </c>
      <c r="BM56" s="126"/>
      <c r="BN56" s="126"/>
      <c r="BO56" s="126"/>
      <c r="BP56" s="32"/>
      <c r="BQ56" s="32"/>
      <c r="BR56" s="115"/>
    </row>
    <row r="57" spans="62:70" ht="15.75" thickBot="1" x14ac:dyDescent="0.3">
      <c r="BJ57" s="114"/>
      <c r="BK57" s="32"/>
      <c r="BL57" s="32"/>
      <c r="BM57" s="32"/>
      <c r="BN57" s="32"/>
      <c r="BO57" s="32"/>
      <c r="BP57" s="32"/>
      <c r="BQ57" s="32"/>
      <c r="BR57" s="115"/>
    </row>
    <row r="58" spans="62:70" x14ac:dyDescent="0.25">
      <c r="BJ58" s="168"/>
      <c r="BK58" s="127" t="s">
        <v>700</v>
      </c>
      <c r="BL58" s="127" t="s">
        <v>688</v>
      </c>
      <c r="BM58" s="127" t="s">
        <v>701</v>
      </c>
      <c r="BN58" s="127" t="s">
        <v>702</v>
      </c>
      <c r="BO58" s="127" t="s">
        <v>703</v>
      </c>
      <c r="BP58" s="127" t="s">
        <v>704</v>
      </c>
      <c r="BQ58" s="127" t="s">
        <v>705</v>
      </c>
      <c r="BR58" s="191" t="s">
        <v>706</v>
      </c>
    </row>
    <row r="59" spans="62:70" x14ac:dyDescent="0.25">
      <c r="BJ59" s="166" t="s">
        <v>694</v>
      </c>
      <c r="BK59" s="125">
        <v>-127.82399999999997</v>
      </c>
      <c r="BL59" s="125">
        <v>22.700152170311352</v>
      </c>
      <c r="BM59" s="125">
        <v>-5.63097546840131</v>
      </c>
      <c r="BN59" s="129">
        <v>7.8997588481561059E-4</v>
      </c>
      <c r="BO59" s="125">
        <v>-181.50133033676479</v>
      </c>
      <c r="BP59" s="125">
        <v>-74.146669663235159</v>
      </c>
      <c r="BQ59" s="125">
        <v>-207.26280336731912</v>
      </c>
      <c r="BR59" s="192">
        <v>-48.385196632680817</v>
      </c>
    </row>
    <row r="60" spans="62:70" ht="15.75" thickBot="1" x14ac:dyDescent="0.3">
      <c r="BJ60" s="167" t="s">
        <v>718</v>
      </c>
      <c r="BK60" s="126">
        <v>6.3483333333333322E-2</v>
      </c>
      <c r="BL60" s="126">
        <v>1.12376899139981E-2</v>
      </c>
      <c r="BM60" s="126">
        <v>5.6491444255154288</v>
      </c>
      <c r="BN60" s="133">
        <v>7.751703135837442E-4</v>
      </c>
      <c r="BO60" s="126">
        <v>3.6910419230813778E-2</v>
      </c>
      <c r="BP60" s="126">
        <v>9.005624743585286E-2</v>
      </c>
      <c r="BQ60" s="126">
        <v>2.4157225178492857E-2</v>
      </c>
      <c r="BR60" s="193">
        <v>0.10280944148817378</v>
      </c>
    </row>
  </sheetData>
  <mergeCells count="7">
    <mergeCell ref="BJ1:CC1"/>
    <mergeCell ref="BM43:BR46"/>
    <mergeCell ref="CG1:CZ1"/>
    <mergeCell ref="CS3:CX6"/>
    <mergeCell ref="P1:AI1"/>
    <mergeCell ref="AN1:BG1"/>
    <mergeCell ref="AQ23:AV2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4860-53B5-47E2-9729-626F23230DFA}">
  <sheetPr>
    <tabColor theme="3" tint="0.79998168889431442"/>
  </sheetPr>
  <dimension ref="A1:CN138"/>
  <sheetViews>
    <sheetView showGridLines="0" topLeftCell="A37" zoomScale="85" zoomScaleNormal="85" workbookViewId="0">
      <selection activeCell="A14" sqref="A14"/>
    </sheetView>
  </sheetViews>
  <sheetFormatPr defaultRowHeight="15" outlineLevelCol="1" x14ac:dyDescent="0.25"/>
  <cols>
    <col min="1" max="1" width="46.140625" bestFit="1" customWidth="1"/>
    <col min="2" max="2" width="12.42578125" bestFit="1" customWidth="1"/>
    <col min="3" max="3" width="10.7109375" bestFit="1" customWidth="1"/>
    <col min="4" max="4" width="17.140625" bestFit="1" customWidth="1"/>
    <col min="5" max="5" width="22" bestFit="1" customWidth="1"/>
    <col min="6" max="6" width="10.7109375" bestFit="1" customWidth="1"/>
    <col min="7" max="7" width="13.7109375" bestFit="1" customWidth="1"/>
    <col min="8" max="8" width="13.85546875" bestFit="1" customWidth="1"/>
    <col min="9" max="9" width="10.7109375" bestFit="1" customWidth="1"/>
    <col min="10" max="10" width="11.7109375" bestFit="1" customWidth="1"/>
    <col min="11" max="22" width="8.7109375" customWidth="1"/>
    <col min="23" max="23" width="44" bestFit="1" customWidth="1"/>
    <col min="24" max="24" width="44" customWidth="1" outlineLevel="1"/>
    <col min="25" max="31" width="9.140625" customWidth="1" outlineLevel="1"/>
    <col min="32" max="32" width="31.42578125" bestFit="1" customWidth="1" outlineLevel="1"/>
    <col min="33" max="33" width="29.42578125" customWidth="1" outlineLevel="1"/>
    <col min="34" max="43" width="9.140625" customWidth="1" outlineLevel="1"/>
    <col min="49" max="49" width="25.140625" customWidth="1" outlineLevel="1"/>
    <col min="50" max="68" width="9.140625" customWidth="1" outlineLevel="1"/>
    <col min="73" max="73" width="25.140625" customWidth="1" outlineLevel="1"/>
    <col min="74" max="81" width="9.140625" customWidth="1" outlineLevel="1"/>
    <col min="82" max="82" width="38.5703125" customWidth="1" outlineLevel="1"/>
    <col min="83" max="92" width="9.140625" customWidth="1" outlineLevel="1"/>
  </cols>
  <sheetData>
    <row r="1" spans="1:92" ht="15.75" thickBot="1" x14ac:dyDescent="0.3">
      <c r="A1" s="3" t="s">
        <v>718</v>
      </c>
      <c r="B1" s="162">
        <v>2016</v>
      </c>
      <c r="C1" s="162">
        <v>2017</v>
      </c>
      <c r="D1" s="162">
        <v>2018</v>
      </c>
      <c r="E1" s="162">
        <v>2019</v>
      </c>
      <c r="F1" s="162">
        <v>2020</v>
      </c>
      <c r="G1" s="162">
        <v>2021</v>
      </c>
      <c r="H1" s="162">
        <v>2022</v>
      </c>
      <c r="I1" s="162">
        <v>2023</v>
      </c>
      <c r="J1" s="162">
        <v>2024</v>
      </c>
      <c r="K1" s="162">
        <v>2025</v>
      </c>
      <c r="L1" s="162">
        <v>2026</v>
      </c>
      <c r="M1" s="162">
        <v>2027</v>
      </c>
      <c r="N1" s="162">
        <v>2028</v>
      </c>
      <c r="O1" s="162">
        <v>2029</v>
      </c>
      <c r="P1" s="162">
        <v>2030</v>
      </c>
      <c r="Q1" s="162">
        <v>2031</v>
      </c>
      <c r="R1" s="162">
        <v>2032</v>
      </c>
      <c r="S1" s="162">
        <v>2033</v>
      </c>
      <c r="T1" s="162">
        <v>2034</v>
      </c>
      <c r="W1" s="284" t="s">
        <v>733</v>
      </c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5"/>
      <c r="AP1" s="286"/>
      <c r="AV1" s="284" t="s">
        <v>399</v>
      </c>
      <c r="AW1" s="285"/>
      <c r="AX1" s="285"/>
      <c r="AY1" s="285"/>
      <c r="AZ1" s="285"/>
      <c r="BA1" s="285"/>
      <c r="BB1" s="285"/>
      <c r="BC1" s="285"/>
      <c r="BD1" s="285"/>
      <c r="BE1" s="285"/>
      <c r="BF1" s="285"/>
      <c r="BG1" s="285"/>
      <c r="BH1" s="285"/>
      <c r="BI1" s="285"/>
      <c r="BJ1" s="285"/>
      <c r="BK1" s="285"/>
      <c r="BL1" s="285"/>
      <c r="BM1" s="285"/>
      <c r="BN1" s="285"/>
      <c r="BO1" s="286"/>
      <c r="BT1" s="284" t="s">
        <v>734</v>
      </c>
      <c r="BU1" s="285"/>
      <c r="BV1" s="285"/>
      <c r="BW1" s="285"/>
      <c r="BX1" s="285"/>
      <c r="BY1" s="285"/>
      <c r="BZ1" s="285"/>
      <c r="CA1" s="285"/>
      <c r="CB1" s="285"/>
      <c r="CC1" s="285"/>
      <c r="CD1" s="285"/>
      <c r="CE1" s="285"/>
      <c r="CF1" s="285"/>
      <c r="CG1" s="285"/>
      <c r="CH1" s="285"/>
      <c r="CI1" s="285"/>
      <c r="CJ1" s="285"/>
      <c r="CK1" s="285"/>
      <c r="CL1" s="285"/>
      <c r="CM1" s="286"/>
    </row>
    <row r="2" spans="1:92" ht="15.75" thickBot="1" x14ac:dyDescent="0.3">
      <c r="A2" s="6" t="s">
        <v>49</v>
      </c>
      <c r="B2" s="160">
        <v>31.353000000000002</v>
      </c>
      <c r="C2" s="160">
        <v>23.646000000000001</v>
      </c>
      <c r="D2" s="160">
        <v>33.683999999999997</v>
      </c>
      <c r="E2" s="160">
        <v>38.621000000000002</v>
      </c>
      <c r="F2" s="160">
        <v>35.93</v>
      </c>
      <c r="G2" s="160">
        <v>120.319</v>
      </c>
      <c r="H2" s="160">
        <v>72.058000000000007</v>
      </c>
      <c r="I2" s="160">
        <v>67.307000000000002</v>
      </c>
      <c r="J2" s="160">
        <v>85.998999999999995</v>
      </c>
      <c r="K2" s="160"/>
      <c r="L2" s="160"/>
      <c r="M2" s="160"/>
      <c r="N2" s="160"/>
      <c r="O2" s="160"/>
      <c r="P2" s="160"/>
      <c r="Q2" s="160"/>
      <c r="R2" s="160"/>
      <c r="S2" s="160"/>
      <c r="T2" s="160"/>
      <c r="W2" s="171" t="s">
        <v>774</v>
      </c>
      <c r="X2" s="163"/>
      <c r="Y2" s="163"/>
      <c r="Z2" s="163"/>
      <c r="AA2" s="163"/>
      <c r="AB2" s="163"/>
      <c r="AC2" s="163"/>
      <c r="AD2" s="163"/>
      <c r="AE2" s="113"/>
      <c r="AF2" s="171" t="s">
        <v>775</v>
      </c>
      <c r="AG2" s="163"/>
      <c r="AH2" s="163"/>
      <c r="AI2" s="163"/>
      <c r="AJ2" s="163"/>
      <c r="AK2" s="163"/>
      <c r="AL2" s="163"/>
      <c r="AM2" s="163"/>
      <c r="AN2" s="163"/>
      <c r="AO2" s="163"/>
      <c r="AP2" s="113"/>
      <c r="AV2" s="171" t="s">
        <v>785</v>
      </c>
      <c r="AW2" s="163"/>
      <c r="AX2" s="212" t="s">
        <v>744</v>
      </c>
      <c r="AY2" s="212"/>
      <c r="AZ2" s="212"/>
      <c r="BA2" s="212"/>
      <c r="BB2" s="212"/>
      <c r="BC2" s="212"/>
      <c r="BD2" s="113"/>
      <c r="BE2" s="176" t="s">
        <v>786</v>
      </c>
      <c r="BF2" s="163"/>
      <c r="BG2" s="163"/>
      <c r="BH2" s="163"/>
      <c r="BI2" s="163"/>
      <c r="BJ2" s="163"/>
      <c r="BK2" s="163"/>
      <c r="BL2" s="163"/>
      <c r="BM2" s="163"/>
      <c r="BN2" s="163"/>
      <c r="BO2" s="113"/>
      <c r="BT2" s="171" t="s">
        <v>785</v>
      </c>
      <c r="BU2" s="163"/>
      <c r="BV2" s="163"/>
      <c r="BW2" s="163"/>
      <c r="BX2" s="163"/>
      <c r="BY2" s="163"/>
      <c r="BZ2" s="163"/>
      <c r="CA2" s="163"/>
      <c r="CB2" s="113"/>
      <c r="CC2" s="171" t="s">
        <v>792</v>
      </c>
      <c r="CD2" s="163"/>
      <c r="CE2" s="163"/>
      <c r="CF2" s="163"/>
      <c r="CG2" s="163"/>
      <c r="CH2" s="163"/>
      <c r="CI2" s="163"/>
      <c r="CJ2" s="163"/>
      <c r="CK2" s="163"/>
      <c r="CL2" s="163"/>
      <c r="CM2" s="113"/>
    </row>
    <row r="3" spans="1:92" x14ac:dyDescent="0.25">
      <c r="A3" s="6" t="s">
        <v>778</v>
      </c>
      <c r="B3" s="160">
        <f>DADOS!E19</f>
        <v>48.617000000000004</v>
      </c>
      <c r="C3" s="160">
        <f>DADOS!F19</f>
        <v>34.120000000000005</v>
      </c>
      <c r="D3" s="160">
        <f>DADOS!G19</f>
        <v>173.06299999999999</v>
      </c>
      <c r="E3" s="160">
        <f>DADOS!H19</f>
        <v>170.25400000000002</v>
      </c>
      <c r="F3" s="160">
        <f>DADOS!I19</f>
        <v>169.81299999999999</v>
      </c>
      <c r="G3" s="160">
        <f>DADOS!J19</f>
        <v>248.14099999999999</v>
      </c>
      <c r="H3" s="160">
        <f>DADOS!K19</f>
        <v>259.02600000000001</v>
      </c>
      <c r="I3" s="160">
        <f>DADOS!L19</f>
        <v>270.26400000000001</v>
      </c>
      <c r="J3" s="160">
        <f>DADOS!M19</f>
        <v>317.53100000000001</v>
      </c>
      <c r="K3" s="160">
        <f>DADOS!N19</f>
        <v>0</v>
      </c>
      <c r="L3" s="160"/>
      <c r="M3" s="160"/>
      <c r="N3" s="160"/>
      <c r="O3" s="160"/>
      <c r="P3" s="160"/>
      <c r="Q3" s="160"/>
      <c r="R3" s="160"/>
      <c r="S3" s="160"/>
      <c r="T3" s="160"/>
      <c r="W3" s="168" t="s">
        <v>684</v>
      </c>
      <c r="X3" s="127"/>
      <c r="Y3" s="32"/>
      <c r="Z3" s="32"/>
      <c r="AA3" s="32"/>
      <c r="AB3" s="32"/>
      <c r="AC3" s="32"/>
      <c r="AD3" s="32"/>
      <c r="AE3" s="115"/>
      <c r="AF3" s="168" t="s">
        <v>684</v>
      </c>
      <c r="AG3" s="127"/>
      <c r="AH3" s="32"/>
      <c r="AI3" s="32"/>
      <c r="AJ3" s="32"/>
      <c r="AK3" s="32"/>
      <c r="AL3" s="32"/>
      <c r="AM3" s="32"/>
      <c r="AN3" s="32"/>
      <c r="AO3" s="32"/>
      <c r="AP3" s="115"/>
      <c r="AV3" s="168" t="s">
        <v>684</v>
      </c>
      <c r="AW3" s="127"/>
      <c r="AX3" s="212"/>
      <c r="AY3" s="212"/>
      <c r="AZ3" s="212"/>
      <c r="BA3" s="212"/>
      <c r="BB3" s="212"/>
      <c r="BC3" s="212"/>
      <c r="BD3" s="115"/>
      <c r="BE3" s="127" t="s">
        <v>684</v>
      </c>
      <c r="BF3" s="127"/>
      <c r="BG3" s="32"/>
      <c r="BH3" s="32"/>
      <c r="BI3" s="32"/>
      <c r="BJ3" s="32"/>
      <c r="BK3" s="32"/>
      <c r="BL3" s="32"/>
      <c r="BM3" s="32"/>
      <c r="BN3" s="32"/>
      <c r="BO3" s="115"/>
      <c r="BT3" s="168" t="s">
        <v>684</v>
      </c>
      <c r="BU3" s="127"/>
      <c r="BV3" s="32"/>
      <c r="BW3" s="32"/>
      <c r="BX3" s="32"/>
      <c r="BY3" s="32"/>
      <c r="BZ3" s="32"/>
      <c r="CA3" s="32"/>
      <c r="CB3" s="115"/>
      <c r="CC3" s="168" t="s">
        <v>684</v>
      </c>
      <c r="CD3" s="127"/>
      <c r="CE3" s="32"/>
      <c r="CF3" s="32"/>
      <c r="CG3" s="32"/>
      <c r="CH3" s="32"/>
      <c r="CI3" s="32"/>
      <c r="CJ3" s="32"/>
      <c r="CK3" s="32"/>
      <c r="CL3" s="32"/>
      <c r="CM3" s="115"/>
    </row>
    <row r="4" spans="1:92" x14ac:dyDescent="0.25">
      <c r="A4" s="6" t="s">
        <v>738</v>
      </c>
      <c r="B4" s="160">
        <v>16.399000000000001</v>
      </c>
      <c r="C4" s="160">
        <v>12.666</v>
      </c>
      <c r="D4" s="160">
        <v>22.902999999999999</v>
      </c>
      <c r="E4" s="160">
        <v>24.960999999999999</v>
      </c>
      <c r="F4" s="160">
        <v>19.170999999999999</v>
      </c>
      <c r="G4" s="160">
        <v>103.23</v>
      </c>
      <c r="H4" s="160">
        <v>38.323</v>
      </c>
      <c r="I4" s="160">
        <v>30.123000000000001</v>
      </c>
      <c r="J4" s="160">
        <v>43.628</v>
      </c>
      <c r="K4" s="160"/>
      <c r="L4" s="160"/>
      <c r="M4" s="160"/>
      <c r="N4" s="160"/>
      <c r="O4" s="160"/>
      <c r="P4" s="160"/>
      <c r="Q4" s="160"/>
      <c r="R4" s="160"/>
      <c r="S4" s="160"/>
      <c r="T4" s="160"/>
      <c r="W4" s="114" t="s">
        <v>740</v>
      </c>
      <c r="X4" s="32"/>
      <c r="Y4" s="32"/>
      <c r="Z4" s="32"/>
      <c r="AA4" s="32"/>
      <c r="AB4" s="32"/>
      <c r="AC4" s="32"/>
      <c r="AD4" s="32"/>
      <c r="AE4" s="115"/>
      <c r="AF4" s="114" t="s">
        <v>740</v>
      </c>
      <c r="AG4" s="32"/>
      <c r="AH4" s="32"/>
      <c r="AI4" s="32"/>
      <c r="AJ4" s="32"/>
      <c r="AK4" s="32"/>
      <c r="AL4" s="32"/>
      <c r="AM4" s="32"/>
      <c r="AN4" s="32"/>
      <c r="AO4" s="32"/>
      <c r="AP4" s="115"/>
      <c r="AV4" s="114" t="s">
        <v>740</v>
      </c>
      <c r="AW4" s="32"/>
      <c r="AX4" s="212"/>
      <c r="AY4" s="212"/>
      <c r="AZ4" s="212"/>
      <c r="BA4" s="212"/>
      <c r="BB4" s="212"/>
      <c r="BC4" s="212"/>
      <c r="BD4" s="115"/>
      <c r="BE4" s="32" t="s">
        <v>740</v>
      </c>
      <c r="BF4" s="32"/>
      <c r="BG4" s="32"/>
      <c r="BH4" s="32"/>
      <c r="BI4" s="32"/>
      <c r="BJ4" s="32"/>
      <c r="BK4" s="32"/>
      <c r="BL4" s="32"/>
      <c r="BM4" s="32"/>
      <c r="BN4" s="32"/>
      <c r="BO4" s="115"/>
      <c r="BT4" s="114" t="s">
        <v>740</v>
      </c>
      <c r="BU4" s="32"/>
      <c r="BV4" s="32"/>
      <c r="BW4" s="32"/>
      <c r="BX4" s="32"/>
      <c r="BY4" s="32"/>
      <c r="BZ4" s="32"/>
      <c r="CA4" s="32"/>
      <c r="CB4" s="115"/>
      <c r="CC4" s="114" t="s">
        <v>740</v>
      </c>
      <c r="CD4" s="32"/>
      <c r="CE4" s="32"/>
      <c r="CF4" s="32"/>
      <c r="CG4" s="32"/>
      <c r="CH4" s="32"/>
      <c r="CI4" s="32"/>
      <c r="CJ4" s="32"/>
      <c r="CK4" s="32"/>
      <c r="CL4" s="32"/>
      <c r="CM4" s="115"/>
    </row>
    <row r="5" spans="1:92" ht="15.75" thickBot="1" x14ac:dyDescent="0.3">
      <c r="A5" s="6" t="s">
        <v>404</v>
      </c>
      <c r="B5" s="160">
        <f>DADOS!E19</f>
        <v>48.617000000000004</v>
      </c>
      <c r="C5" s="160">
        <f>DADOS!F19</f>
        <v>34.120000000000005</v>
      </c>
      <c r="D5" s="160">
        <f>DADOS!G19</f>
        <v>173.06299999999999</v>
      </c>
      <c r="E5" s="160">
        <f>DADOS!H19</f>
        <v>170.25400000000002</v>
      </c>
      <c r="F5" s="160">
        <f>DADOS!I19</f>
        <v>169.81299999999999</v>
      </c>
      <c r="G5" s="160">
        <f>DADOS!J19</f>
        <v>248.14099999999999</v>
      </c>
      <c r="H5" s="160">
        <f>DADOS!K19</f>
        <v>259.02600000000001</v>
      </c>
      <c r="I5" s="160">
        <f>DADOS!L19</f>
        <v>270.26400000000001</v>
      </c>
      <c r="J5" s="160">
        <f>DADOS!M19</f>
        <v>317.53100000000001</v>
      </c>
      <c r="K5" s="160">
        <f>DADOS!N19</f>
        <v>0</v>
      </c>
      <c r="L5" s="160"/>
      <c r="M5" s="160"/>
      <c r="N5" s="160"/>
      <c r="O5" s="160"/>
      <c r="P5" s="160"/>
      <c r="Q5" s="160"/>
      <c r="R5" s="160"/>
      <c r="S5" s="160"/>
      <c r="T5" s="160"/>
      <c r="W5" s="114"/>
      <c r="X5" s="32"/>
      <c r="Y5" s="32"/>
      <c r="Z5" s="32"/>
      <c r="AA5" s="32"/>
      <c r="AB5" s="32"/>
      <c r="AC5" s="32"/>
      <c r="AD5" s="32"/>
      <c r="AE5" s="115"/>
      <c r="AF5" s="114"/>
      <c r="AG5" s="32"/>
      <c r="AH5" s="32"/>
      <c r="AI5" s="32"/>
      <c r="AJ5" s="32"/>
      <c r="AK5" s="32"/>
      <c r="AL5" s="32"/>
      <c r="AM5" s="32"/>
      <c r="AN5" s="32"/>
      <c r="AO5" s="32"/>
      <c r="AP5" s="115"/>
      <c r="AV5" s="114"/>
      <c r="AW5" s="32"/>
      <c r="AX5" s="212"/>
      <c r="AY5" s="212"/>
      <c r="AZ5" s="212"/>
      <c r="BA5" s="212"/>
      <c r="BB5" s="212"/>
      <c r="BC5" s="212"/>
      <c r="BD5" s="115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115"/>
      <c r="BT5" s="114"/>
      <c r="BU5" s="32"/>
      <c r="BV5" s="32"/>
      <c r="BW5" s="32"/>
      <c r="BX5" s="32"/>
      <c r="BY5" s="32"/>
      <c r="BZ5" s="32"/>
      <c r="CA5" s="32"/>
      <c r="CB5" s="115"/>
      <c r="CC5" s="114"/>
      <c r="CD5" s="32"/>
      <c r="CE5" s="32"/>
      <c r="CF5" s="32"/>
      <c r="CG5" s="32"/>
      <c r="CH5" s="32"/>
      <c r="CI5" s="32"/>
      <c r="CJ5" s="32"/>
      <c r="CK5" s="32"/>
      <c r="CL5" s="32"/>
      <c r="CM5" s="115"/>
    </row>
    <row r="6" spans="1:92" x14ac:dyDescent="0.25">
      <c r="A6" s="6" t="s">
        <v>778</v>
      </c>
      <c r="B6" s="160">
        <f>DADOS!E17</f>
        <v>7.45</v>
      </c>
      <c r="C6" s="160">
        <f>DADOS!E19</f>
        <v>48.617000000000004</v>
      </c>
      <c r="D6" s="160">
        <f>DADOS!F19</f>
        <v>34.120000000000005</v>
      </c>
      <c r="E6" s="160">
        <f>DADOS!G19</f>
        <v>173.06299999999999</v>
      </c>
      <c r="F6" s="160">
        <f>DADOS!H19</f>
        <v>170.25400000000002</v>
      </c>
      <c r="G6" s="160">
        <f>DADOS!I19</f>
        <v>169.81299999999999</v>
      </c>
      <c r="H6" s="160">
        <f>DADOS!J19</f>
        <v>248.14099999999999</v>
      </c>
      <c r="I6" s="160">
        <f>DADOS!K19</f>
        <v>259.02600000000001</v>
      </c>
      <c r="J6" s="160">
        <f>DADOS!L19</f>
        <v>270.26400000000001</v>
      </c>
      <c r="K6" s="160">
        <f>DADOS!M19</f>
        <v>317.53100000000001</v>
      </c>
      <c r="L6" s="160"/>
      <c r="M6" s="160"/>
      <c r="N6" s="160"/>
      <c r="O6" s="160"/>
      <c r="P6" s="160"/>
      <c r="Q6" s="160"/>
      <c r="R6" s="160"/>
      <c r="S6" s="160"/>
      <c r="T6" s="160"/>
      <c r="W6" s="168" t="s">
        <v>684</v>
      </c>
      <c r="X6" s="127"/>
      <c r="Y6" s="32"/>
      <c r="Z6" s="32"/>
      <c r="AA6" s="32"/>
      <c r="AB6" s="32"/>
      <c r="AC6" s="32"/>
      <c r="AD6" s="32"/>
      <c r="AE6" s="115"/>
      <c r="AF6" s="168" t="s">
        <v>684</v>
      </c>
      <c r="AG6" s="127"/>
      <c r="AH6" s="32"/>
      <c r="AI6" s="32"/>
      <c r="AJ6" s="32"/>
      <c r="AK6" s="32"/>
      <c r="AL6" s="32"/>
      <c r="AM6" s="32"/>
      <c r="AN6" s="32"/>
      <c r="AO6" s="32"/>
      <c r="AP6" s="115"/>
      <c r="AV6" s="168" t="s">
        <v>684</v>
      </c>
      <c r="AW6" s="127"/>
      <c r="AX6" s="212"/>
      <c r="AY6" s="212"/>
      <c r="AZ6" s="212"/>
      <c r="BA6" s="212"/>
      <c r="BB6" s="212"/>
      <c r="BC6" s="212"/>
      <c r="BD6" s="115"/>
      <c r="BE6" s="127" t="s">
        <v>684</v>
      </c>
      <c r="BF6" s="127"/>
      <c r="BG6" s="32"/>
      <c r="BH6" s="32"/>
      <c r="BI6" s="32"/>
      <c r="BJ6" s="32"/>
      <c r="BK6" s="32"/>
      <c r="BL6" s="32"/>
      <c r="BM6" s="32"/>
      <c r="BN6" s="32"/>
      <c r="BO6" s="115"/>
      <c r="BT6" s="168" t="s">
        <v>684</v>
      </c>
      <c r="BU6" s="127"/>
      <c r="BV6" s="32"/>
      <c r="BW6" s="32"/>
      <c r="BX6" s="32"/>
      <c r="BY6" s="32"/>
      <c r="BZ6" s="32"/>
      <c r="CA6" s="32"/>
      <c r="CB6" s="115"/>
      <c r="CC6" s="168" t="s">
        <v>684</v>
      </c>
      <c r="CD6" s="127"/>
      <c r="CE6" s="32"/>
      <c r="CF6" s="32"/>
      <c r="CG6" s="32"/>
      <c r="CH6" s="32"/>
      <c r="CI6" s="32"/>
      <c r="CJ6" s="32"/>
      <c r="CK6" s="32"/>
      <c r="CL6" s="32"/>
      <c r="CM6" s="115"/>
    </row>
    <row r="7" spans="1:92" x14ac:dyDescent="0.25">
      <c r="A7" s="210" t="s">
        <v>307</v>
      </c>
      <c r="B7" s="211">
        <v>2.6989999999999998</v>
      </c>
      <c r="C7" s="211">
        <v>1.972</v>
      </c>
      <c r="D7" s="211">
        <v>1.2450000000000001</v>
      </c>
      <c r="E7" s="211">
        <v>0.73699999999999999</v>
      </c>
      <c r="F7" s="211">
        <v>0.53600000000000003</v>
      </c>
      <c r="G7" s="211">
        <v>0.33500000000000002</v>
      </c>
      <c r="H7" s="211">
        <v>0.13400000000000001</v>
      </c>
      <c r="I7" s="211">
        <v>0</v>
      </c>
      <c r="J7" s="211">
        <v>30.706</v>
      </c>
      <c r="K7" s="211">
        <v>26.373000000000001</v>
      </c>
      <c r="L7" s="211">
        <f t="shared" ref="L7:T7" si="0">K7-(K7*$B$22)</f>
        <v>21.538912417891776</v>
      </c>
      <c r="M7" s="211">
        <f t="shared" si="0"/>
        <v>17.590897817677643</v>
      </c>
      <c r="N7" s="211">
        <f t="shared" si="0"/>
        <v>14.366541821068605</v>
      </c>
      <c r="O7" s="211">
        <f t="shared" si="0"/>
        <v>11.733200092214616</v>
      </c>
      <c r="P7" s="211">
        <f t="shared" si="0"/>
        <v>9.5825415829754039</v>
      </c>
      <c r="Q7" s="211">
        <f t="shared" si="0"/>
        <v>7.8260919840940826</v>
      </c>
      <c r="R7" s="211">
        <f t="shared" si="0"/>
        <v>6.391594047691477</v>
      </c>
      <c r="S7" s="211">
        <f t="shared" si="0"/>
        <v>5.2200350511487166</v>
      </c>
      <c r="T7" s="211">
        <f t="shared" si="0"/>
        <v>4.2632191174692835</v>
      </c>
      <c r="W7" s="166" t="s">
        <v>685</v>
      </c>
      <c r="X7" s="125">
        <v>0.61386847701710046</v>
      </c>
      <c r="Y7" s="32"/>
      <c r="Z7" s="32"/>
      <c r="AA7" s="32"/>
      <c r="AB7" s="32"/>
      <c r="AC7" s="32"/>
      <c r="AD7" s="32"/>
      <c r="AE7" s="115"/>
      <c r="AF7" s="166" t="s">
        <v>685</v>
      </c>
      <c r="AG7" s="125">
        <v>0.59056649201741884</v>
      </c>
      <c r="AH7" s="32"/>
      <c r="AI7" s="32"/>
      <c r="AJ7" s="32"/>
      <c r="AK7" s="32"/>
      <c r="AL7" s="32"/>
      <c r="AM7" s="32"/>
      <c r="AN7" s="32"/>
      <c r="AO7" s="32"/>
      <c r="AP7" s="115"/>
      <c r="AV7" s="166" t="s">
        <v>685</v>
      </c>
      <c r="AW7" s="125">
        <v>0.87748227049678396</v>
      </c>
      <c r="AX7" s="32"/>
      <c r="AY7" s="32"/>
      <c r="AZ7" s="32"/>
      <c r="BA7" s="32"/>
      <c r="BB7" s="32"/>
      <c r="BC7" s="32"/>
      <c r="BD7" s="115"/>
      <c r="BE7" s="125" t="s">
        <v>685</v>
      </c>
      <c r="BF7" s="125">
        <v>0.8798416234826234</v>
      </c>
      <c r="BG7" s="32"/>
      <c r="BH7" s="32"/>
      <c r="BI7" s="32"/>
      <c r="BJ7" s="32"/>
      <c r="BK7" s="32"/>
      <c r="BL7" s="32"/>
      <c r="BM7" s="32"/>
      <c r="BN7" s="32"/>
      <c r="BO7" s="115"/>
      <c r="BT7" s="166" t="s">
        <v>685</v>
      </c>
      <c r="BU7" s="125">
        <v>0.45019629976457848</v>
      </c>
      <c r="BV7" s="32"/>
      <c r="BW7" s="32"/>
      <c r="BX7" s="32"/>
      <c r="BY7" s="32"/>
      <c r="BZ7" s="32"/>
      <c r="CA7" s="32"/>
      <c r="CB7" s="115"/>
      <c r="CC7" s="166" t="s">
        <v>685</v>
      </c>
      <c r="CD7" s="125">
        <v>0.17785859731522366</v>
      </c>
      <c r="CE7" s="32"/>
      <c r="CF7" s="32"/>
      <c r="CG7" s="32"/>
      <c r="CH7" s="32"/>
      <c r="CI7" s="32"/>
      <c r="CJ7" s="32"/>
      <c r="CK7" s="32"/>
      <c r="CL7" s="32"/>
      <c r="CM7" s="115"/>
    </row>
    <row r="8" spans="1:92" x14ac:dyDescent="0.25">
      <c r="A8" s="255" t="s">
        <v>781</v>
      </c>
      <c r="B8" s="256">
        <v>3.4260000000000002</v>
      </c>
      <c r="C8" s="256">
        <f>B7</f>
        <v>2.6989999999999998</v>
      </c>
      <c r="D8" s="256">
        <f t="shared" ref="D8:J8" si="1">C7</f>
        <v>1.972</v>
      </c>
      <c r="E8" s="256">
        <f t="shared" si="1"/>
        <v>1.2450000000000001</v>
      </c>
      <c r="F8" s="256">
        <f t="shared" si="1"/>
        <v>0.73699999999999999</v>
      </c>
      <c r="G8" s="256">
        <f t="shared" si="1"/>
        <v>0.53600000000000003</v>
      </c>
      <c r="H8" s="256">
        <f t="shared" si="1"/>
        <v>0.33500000000000002</v>
      </c>
      <c r="I8" s="256">
        <f t="shared" si="1"/>
        <v>0.13400000000000001</v>
      </c>
      <c r="J8" s="256">
        <f t="shared" si="1"/>
        <v>0</v>
      </c>
      <c r="K8" s="256">
        <f t="shared" ref="K8:T8" si="2">J7</f>
        <v>30.706</v>
      </c>
      <c r="L8" s="256">
        <f t="shared" si="2"/>
        <v>26.373000000000001</v>
      </c>
      <c r="M8" s="256">
        <f t="shared" si="2"/>
        <v>21.538912417891776</v>
      </c>
      <c r="N8" s="256">
        <f t="shared" si="2"/>
        <v>17.590897817677643</v>
      </c>
      <c r="O8" s="256">
        <f t="shared" si="2"/>
        <v>14.366541821068605</v>
      </c>
      <c r="P8" s="256">
        <f t="shared" si="2"/>
        <v>11.733200092214616</v>
      </c>
      <c r="Q8" s="256">
        <f t="shared" si="2"/>
        <v>9.5825415829754039</v>
      </c>
      <c r="R8" s="256">
        <f t="shared" si="2"/>
        <v>7.8260919840940826</v>
      </c>
      <c r="S8" s="256">
        <f t="shared" si="2"/>
        <v>6.391594047691477</v>
      </c>
      <c r="T8" s="256">
        <f t="shared" si="2"/>
        <v>5.2200350511487166</v>
      </c>
      <c r="W8" s="166" t="s">
        <v>686</v>
      </c>
      <c r="X8" s="125">
        <v>0.37683450707529437</v>
      </c>
      <c r="Y8" s="32"/>
      <c r="Z8" s="32"/>
      <c r="AA8" s="32"/>
      <c r="AB8" s="32"/>
      <c r="AC8" s="32"/>
      <c r="AD8" s="32"/>
      <c r="AE8" s="115"/>
      <c r="AF8" s="166" t="s">
        <v>686</v>
      </c>
      <c r="AG8" s="125">
        <v>0.34876878149376001</v>
      </c>
      <c r="AH8" s="32"/>
      <c r="AI8" s="32"/>
      <c r="AJ8" s="32"/>
      <c r="AK8" s="32"/>
      <c r="AL8" s="32"/>
      <c r="AM8" s="32"/>
      <c r="AN8" s="32"/>
      <c r="AO8" s="32"/>
      <c r="AP8" s="115"/>
      <c r="AV8" s="166" t="s">
        <v>686</v>
      </c>
      <c r="AW8" s="125">
        <v>0.76997513503619119</v>
      </c>
      <c r="AX8" s="291" t="s">
        <v>789</v>
      </c>
      <c r="AY8" s="291"/>
      <c r="AZ8" s="291"/>
      <c r="BA8" s="291"/>
      <c r="BB8" s="291"/>
      <c r="BC8" s="291"/>
      <c r="BD8" s="115"/>
      <c r="BE8" s="125" t="s">
        <v>686</v>
      </c>
      <c r="BF8" s="125">
        <v>0.77412128241253853</v>
      </c>
      <c r="BG8" s="32"/>
      <c r="BH8" s="32"/>
      <c r="BI8" s="32"/>
      <c r="BJ8" s="32"/>
      <c r="BK8" s="32"/>
      <c r="BL8" s="32"/>
      <c r="BM8" s="32"/>
      <c r="BN8" s="32"/>
      <c r="BO8" s="115"/>
      <c r="BT8" s="166" t="s">
        <v>686</v>
      </c>
      <c r="BU8" s="125">
        <v>0.20267670832171822</v>
      </c>
      <c r="BV8" s="32"/>
      <c r="BW8" s="32"/>
      <c r="BX8" s="32"/>
      <c r="BY8" s="32"/>
      <c r="BZ8" s="32"/>
      <c r="CA8" s="32"/>
      <c r="CB8" s="115"/>
      <c r="CC8" s="166" t="s">
        <v>686</v>
      </c>
      <c r="CD8" s="125">
        <v>3.1633680638938885E-2</v>
      </c>
      <c r="CE8" s="32"/>
      <c r="CF8" s="32"/>
      <c r="CG8" s="32"/>
      <c r="CH8" s="32"/>
      <c r="CI8" s="32"/>
      <c r="CJ8" s="32"/>
      <c r="CK8" s="32"/>
      <c r="CL8" s="32"/>
      <c r="CM8" s="115"/>
    </row>
    <row r="9" spans="1:92" x14ac:dyDescent="0.25">
      <c r="A9" s="179" t="s">
        <v>784</v>
      </c>
      <c r="B9" s="180">
        <v>0.61</v>
      </c>
      <c r="C9" s="180">
        <f>B10</f>
        <v>0.73499999999999999</v>
      </c>
      <c r="D9" s="180">
        <f t="shared" ref="D9:J9" si="3">C10</f>
        <v>0.73299999999999998</v>
      </c>
      <c r="E9" s="180">
        <f t="shared" si="3"/>
        <v>0.73099999999999998</v>
      </c>
      <c r="F9" s="180">
        <f t="shared" si="3"/>
        <v>0.51100000000000001</v>
      </c>
      <c r="G9" s="180">
        <f t="shared" si="3"/>
        <v>0.20300000000000001</v>
      </c>
      <c r="H9" s="180">
        <f t="shared" si="3"/>
        <v>0.20200000000000001</v>
      </c>
      <c r="I9" s="180">
        <f t="shared" si="3"/>
        <v>0.20200000000000001</v>
      </c>
      <c r="J9" s="180">
        <f t="shared" si="3"/>
        <v>0.13400000000000001</v>
      </c>
      <c r="K9" s="180">
        <f>J10</f>
        <v>8.7999999999999995E-2</v>
      </c>
      <c r="L9" s="180">
        <f t="shared" ref="L9:T9" si="4">K10</f>
        <v>1.0489999999999999</v>
      </c>
      <c r="M9" s="180">
        <f t="shared" si="4"/>
        <v>0.8523314981164879</v>
      </c>
      <c r="N9" s="180">
        <f t="shared" si="4"/>
        <v>0.69253477853336198</v>
      </c>
      <c r="O9" s="180">
        <f t="shared" si="4"/>
        <v>0.56269704984281277</v>
      </c>
      <c r="P9" s="180">
        <f t="shared" si="4"/>
        <v>0.4572015438305555</v>
      </c>
      <c r="Q9" s="180">
        <f t="shared" si="4"/>
        <v>0.37148453459892133</v>
      </c>
      <c r="R9" s="180">
        <f t="shared" si="4"/>
        <v>0.30183791220381784</v>
      </c>
      <c r="S9" s="180">
        <f t="shared" si="4"/>
        <v>0.24524877015923072</v>
      </c>
      <c r="T9" s="180">
        <f t="shared" si="4"/>
        <v>0.19926906737945027</v>
      </c>
      <c r="W9" s="209" t="s">
        <v>687</v>
      </c>
      <c r="X9" s="177">
        <v>2.9352113204709875E-3</v>
      </c>
      <c r="Y9" s="32"/>
      <c r="Z9" s="32"/>
      <c r="AA9" s="32"/>
      <c r="AB9" s="32"/>
      <c r="AC9" s="32"/>
      <c r="AD9" s="32"/>
      <c r="AE9" s="115"/>
      <c r="AF9" s="209" t="s">
        <v>687</v>
      </c>
      <c r="AG9" s="177">
        <v>0.25573575027858286</v>
      </c>
      <c r="AH9" s="32"/>
      <c r="AI9" s="32"/>
      <c r="AJ9" s="32"/>
      <c r="AK9" s="32"/>
      <c r="AL9" s="32"/>
      <c r="AM9" s="32"/>
      <c r="AN9" s="32"/>
      <c r="AO9" s="32"/>
      <c r="AP9" s="115"/>
      <c r="AV9" s="173" t="s">
        <v>687</v>
      </c>
      <c r="AW9" s="129">
        <v>0.73711444004136095</v>
      </c>
      <c r="AX9" s="291"/>
      <c r="AY9" s="291"/>
      <c r="AZ9" s="291"/>
      <c r="BA9" s="291"/>
      <c r="BB9" s="291"/>
      <c r="BC9" s="291"/>
      <c r="BD9" s="115"/>
      <c r="BE9" s="125" t="s">
        <v>687</v>
      </c>
      <c r="BF9" s="125">
        <v>0.69882837655005137</v>
      </c>
      <c r="BG9" s="32"/>
      <c r="BH9" s="32"/>
      <c r="BI9" s="32"/>
      <c r="BJ9" s="32"/>
      <c r="BK9" s="32"/>
      <c r="BL9" s="32"/>
      <c r="BM9" s="32"/>
      <c r="BN9" s="32"/>
      <c r="BO9" s="115"/>
      <c r="BT9" s="166" t="s">
        <v>687</v>
      </c>
      <c r="BU9" s="125">
        <v>8.8773380939106541E-2</v>
      </c>
      <c r="BV9" s="32"/>
      <c r="BW9" s="32"/>
      <c r="BX9" s="32"/>
      <c r="BY9" s="32"/>
      <c r="BZ9" s="32"/>
      <c r="CA9" s="32"/>
      <c r="CB9" s="115"/>
      <c r="CC9" s="166" t="s">
        <v>687</v>
      </c>
      <c r="CD9" s="125">
        <v>-0.10670436498406985</v>
      </c>
      <c r="CE9" s="32"/>
      <c r="CF9" s="32"/>
      <c r="CG9" s="32"/>
      <c r="CH9" s="32"/>
      <c r="CI9" s="32"/>
      <c r="CJ9" s="32"/>
      <c r="CK9" s="32"/>
      <c r="CL9" s="32"/>
      <c r="CM9" s="115"/>
    </row>
    <row r="10" spans="1:92" x14ac:dyDescent="0.25">
      <c r="A10" s="210" t="s">
        <v>773</v>
      </c>
      <c r="B10" s="211">
        <v>0.73499999999999999</v>
      </c>
      <c r="C10" s="211">
        <v>0.73299999999999998</v>
      </c>
      <c r="D10" s="211">
        <v>0.73099999999999998</v>
      </c>
      <c r="E10" s="211">
        <v>0.51100000000000001</v>
      </c>
      <c r="F10" s="211">
        <v>0.20300000000000001</v>
      </c>
      <c r="G10" s="211">
        <v>0.20200000000000001</v>
      </c>
      <c r="H10" s="211">
        <v>0.20200000000000001</v>
      </c>
      <c r="I10" s="211">
        <v>0.13400000000000001</v>
      </c>
      <c r="J10" s="211">
        <v>8.7999999999999995E-2</v>
      </c>
      <c r="K10" s="253">
        <v>1.0489999999999999</v>
      </c>
      <c r="L10" s="211">
        <f t="shared" ref="L10:T10" si="5">K10-(K10*$B$27)</f>
        <v>0.8523314981164879</v>
      </c>
      <c r="M10" s="211">
        <f t="shared" si="5"/>
        <v>0.69253477853336198</v>
      </c>
      <c r="N10" s="211">
        <f t="shared" si="5"/>
        <v>0.56269704984281277</v>
      </c>
      <c r="O10" s="211">
        <f t="shared" si="5"/>
        <v>0.4572015438305555</v>
      </c>
      <c r="P10" s="211">
        <f t="shared" si="5"/>
        <v>0.37148453459892133</v>
      </c>
      <c r="Q10" s="211">
        <f t="shared" si="5"/>
        <v>0.30183791220381784</v>
      </c>
      <c r="R10" s="211">
        <f t="shared" si="5"/>
        <v>0.24524877015923072</v>
      </c>
      <c r="S10" s="211">
        <f t="shared" si="5"/>
        <v>0.19926906737945027</v>
      </c>
      <c r="T10" s="211">
        <f t="shared" si="5"/>
        <v>0.16190972614661794</v>
      </c>
      <c r="W10" s="166" t="s">
        <v>688</v>
      </c>
      <c r="X10" s="125">
        <v>1.3004933899034732</v>
      </c>
      <c r="Y10" s="32"/>
      <c r="Z10" s="32"/>
      <c r="AA10" s="32"/>
      <c r="AB10" s="32"/>
      <c r="AC10" s="32"/>
      <c r="AD10" s="32"/>
      <c r="AE10" s="115"/>
      <c r="AF10" s="166" t="s">
        <v>688</v>
      </c>
      <c r="AG10" s="125">
        <v>1.1235956227277395</v>
      </c>
      <c r="AH10" s="32"/>
      <c r="AI10" s="32"/>
      <c r="AJ10" s="32"/>
      <c r="AK10" s="32"/>
      <c r="AL10" s="32"/>
      <c r="AM10" s="32"/>
      <c r="AN10" s="32"/>
      <c r="AO10" s="32"/>
      <c r="AP10" s="115"/>
      <c r="AV10" s="166" t="s">
        <v>688</v>
      </c>
      <c r="AW10" s="125">
        <v>3.1517680830612751E-2</v>
      </c>
      <c r="AX10" s="291"/>
      <c r="AY10" s="291"/>
      <c r="AZ10" s="291"/>
      <c r="BA10" s="291"/>
      <c r="BB10" s="291"/>
      <c r="BC10" s="291"/>
      <c r="BD10" s="115"/>
      <c r="BE10" s="125" t="s">
        <v>688</v>
      </c>
      <c r="BF10" s="125">
        <v>3.3734782352264188E-2</v>
      </c>
      <c r="BG10" s="32"/>
      <c r="BH10" s="32"/>
      <c r="BI10" s="32"/>
      <c r="BJ10" s="32"/>
      <c r="BK10" s="32"/>
      <c r="BL10" s="32"/>
      <c r="BM10" s="32"/>
      <c r="BN10" s="32"/>
      <c r="BO10" s="115"/>
      <c r="BT10" s="166" t="s">
        <v>688</v>
      </c>
      <c r="BU10" s="125">
        <v>0.13150730018959669</v>
      </c>
      <c r="BV10" s="32"/>
      <c r="BW10" s="32"/>
      <c r="BX10" s="32"/>
      <c r="BY10" s="32"/>
      <c r="BZ10" s="32"/>
      <c r="CA10" s="32"/>
      <c r="CB10" s="115"/>
      <c r="CC10" s="166" t="s">
        <v>688</v>
      </c>
      <c r="CD10" s="125">
        <v>0.14492805850846366</v>
      </c>
      <c r="CE10" s="32"/>
      <c r="CF10" s="32"/>
      <c r="CG10" s="32"/>
      <c r="CH10" s="32"/>
      <c r="CI10" s="32"/>
      <c r="CJ10" s="32"/>
      <c r="CK10" s="32"/>
      <c r="CL10" s="32"/>
      <c r="CM10" s="115"/>
    </row>
    <row r="11" spans="1:92" ht="15.75" thickBot="1" x14ac:dyDescent="0.3">
      <c r="A11" s="179" t="s">
        <v>733</v>
      </c>
      <c r="B11" s="180">
        <v>-5.26</v>
      </c>
      <c r="C11" s="180">
        <v>-2.4289999999999998</v>
      </c>
      <c r="D11" s="180">
        <v>-1.4910000000000001</v>
      </c>
      <c r="E11" s="180">
        <v>-2.3490000000000002</v>
      </c>
      <c r="F11" s="180">
        <v>-1.403</v>
      </c>
      <c r="G11" s="180">
        <v>-0.93799999999999994</v>
      </c>
      <c r="H11" s="180">
        <v>-2.9079999999999999</v>
      </c>
      <c r="I11" s="180">
        <v>-1.4339999999999999</v>
      </c>
      <c r="J11" s="180">
        <v>-1.64</v>
      </c>
      <c r="K11" s="180">
        <v>-1.101</v>
      </c>
      <c r="L11" s="180">
        <f>-(SUM(K8:K9)*B34)</f>
        <v>-40.364641003631576</v>
      </c>
      <c r="M11" s="180"/>
      <c r="N11" s="180"/>
      <c r="O11" s="180"/>
      <c r="P11" s="180"/>
      <c r="Q11" s="180"/>
      <c r="R11" s="180"/>
      <c r="S11" s="180"/>
      <c r="T11" s="180"/>
      <c r="W11" s="167" t="s">
        <v>689</v>
      </c>
      <c r="X11" s="126">
        <v>9</v>
      </c>
      <c r="Y11" s="32"/>
      <c r="Z11" s="32"/>
      <c r="AA11" s="32"/>
      <c r="AB11" s="32"/>
      <c r="AC11" s="32"/>
      <c r="AD11" s="32"/>
      <c r="AE11" s="115"/>
      <c r="AF11" s="167" t="s">
        <v>689</v>
      </c>
      <c r="AG11" s="126">
        <v>9</v>
      </c>
      <c r="AH11" s="32"/>
      <c r="AI11" s="32"/>
      <c r="AJ11" s="32"/>
      <c r="AK11" s="32"/>
      <c r="AL11" s="32"/>
      <c r="AM11" s="32"/>
      <c r="AN11" s="32"/>
      <c r="AO11" s="32"/>
      <c r="AP11" s="115"/>
      <c r="AV11" s="167" t="s">
        <v>689</v>
      </c>
      <c r="AW11" s="126">
        <v>9</v>
      </c>
      <c r="AX11" s="32"/>
      <c r="AY11" s="32"/>
      <c r="AZ11" s="32"/>
      <c r="BA11" s="32"/>
      <c r="BB11" s="32"/>
      <c r="BC11" s="32"/>
      <c r="BD11" s="115"/>
      <c r="BE11" s="126" t="s">
        <v>689</v>
      </c>
      <c r="BF11" s="126">
        <v>9</v>
      </c>
      <c r="BG11" s="32"/>
      <c r="BH11" s="32"/>
      <c r="BI11" s="32"/>
      <c r="BJ11" s="32"/>
      <c r="BK11" s="32"/>
      <c r="BL11" s="32"/>
      <c r="BM11" s="32"/>
      <c r="BN11" s="32"/>
      <c r="BO11" s="115"/>
      <c r="BT11" s="167" t="s">
        <v>689</v>
      </c>
      <c r="BU11" s="126">
        <v>9</v>
      </c>
      <c r="BV11" s="32"/>
      <c r="BW11" s="32"/>
      <c r="BX11" s="32"/>
      <c r="BY11" s="32"/>
      <c r="BZ11" s="32"/>
      <c r="CA11" s="32"/>
      <c r="CB11" s="115"/>
      <c r="CC11" s="167" t="s">
        <v>689</v>
      </c>
      <c r="CD11" s="126">
        <v>9</v>
      </c>
      <c r="CE11" s="32"/>
      <c r="CF11" s="32"/>
      <c r="CG11" s="32"/>
      <c r="CH11" s="32"/>
      <c r="CI11" s="32"/>
      <c r="CJ11" s="32"/>
      <c r="CK11" s="32"/>
      <c r="CL11" s="32"/>
      <c r="CM11" s="115"/>
    </row>
    <row r="12" spans="1:92" x14ac:dyDescent="0.25">
      <c r="A12" s="10" t="s">
        <v>399</v>
      </c>
      <c r="B12" s="161">
        <v>0.192</v>
      </c>
      <c r="C12" s="161">
        <v>0.157</v>
      </c>
      <c r="D12" s="161">
        <v>0.121</v>
      </c>
      <c r="E12" s="161">
        <v>8.5999999999999993E-2</v>
      </c>
      <c r="F12" s="161">
        <v>5.2999999999999999E-2</v>
      </c>
      <c r="G12" s="161">
        <v>3.6999999999999998E-2</v>
      </c>
      <c r="H12" s="161">
        <v>2.5000000000000001E-2</v>
      </c>
      <c r="I12" s="161">
        <v>1.4E-2</v>
      </c>
      <c r="J12" s="161">
        <v>0.105</v>
      </c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W12" s="114"/>
      <c r="X12" s="32"/>
      <c r="Y12" s="32"/>
      <c r="Z12" s="32"/>
      <c r="AA12" s="32"/>
      <c r="AB12" s="32"/>
      <c r="AC12" s="32"/>
      <c r="AD12" s="32"/>
      <c r="AE12" s="115"/>
      <c r="AF12" s="114"/>
      <c r="AG12" s="32"/>
      <c r="AH12" s="32"/>
      <c r="AI12" s="32"/>
      <c r="AJ12" s="32"/>
      <c r="AK12" s="32"/>
      <c r="AL12" s="32"/>
      <c r="AM12" s="32"/>
      <c r="AN12" s="32"/>
      <c r="AO12" s="32"/>
      <c r="AP12" s="115"/>
      <c r="AV12" s="114"/>
      <c r="AW12" s="32"/>
      <c r="AX12" s="32"/>
      <c r="AY12" s="32"/>
      <c r="AZ12" s="32"/>
      <c r="BA12" s="32"/>
      <c r="BB12" s="32"/>
      <c r="BC12" s="32"/>
      <c r="BD12" s="115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115"/>
      <c r="BT12" s="114"/>
      <c r="BU12" s="32"/>
      <c r="BV12" s="32"/>
      <c r="BW12" s="32"/>
      <c r="BX12" s="32"/>
      <c r="BY12" s="32"/>
      <c r="BZ12" s="32"/>
      <c r="CA12" s="32"/>
      <c r="CB12" s="115"/>
      <c r="CC12" s="114"/>
      <c r="CD12" s="32"/>
      <c r="CE12" s="32"/>
      <c r="CF12" s="32"/>
      <c r="CG12" s="32"/>
      <c r="CH12" s="32"/>
      <c r="CI12" s="32"/>
      <c r="CJ12" s="32"/>
      <c r="CK12" s="32"/>
      <c r="CL12" s="32"/>
      <c r="CM12" s="115"/>
    </row>
    <row r="13" spans="1:92" ht="15.75" thickBot="1" x14ac:dyDescent="0.3">
      <c r="A13" s="179" t="s">
        <v>795</v>
      </c>
      <c r="B13" s="180">
        <v>0</v>
      </c>
      <c r="C13" s="180">
        <f t="shared" ref="C13:J13" si="6">B11</f>
        <v>-5.26</v>
      </c>
      <c r="D13" s="180">
        <f t="shared" si="6"/>
        <v>-2.4289999999999998</v>
      </c>
      <c r="E13" s="180">
        <f t="shared" si="6"/>
        <v>-1.4910000000000001</v>
      </c>
      <c r="F13" s="180">
        <f t="shared" si="6"/>
        <v>-2.3490000000000002</v>
      </c>
      <c r="G13" s="180">
        <f t="shared" si="6"/>
        <v>-1.403</v>
      </c>
      <c r="H13" s="180">
        <f t="shared" si="6"/>
        <v>-0.93799999999999994</v>
      </c>
      <c r="I13" s="180">
        <f t="shared" si="6"/>
        <v>-2.9079999999999999</v>
      </c>
      <c r="J13" s="180">
        <f t="shared" si="6"/>
        <v>-1.4339999999999999</v>
      </c>
      <c r="K13" s="180">
        <f>J11</f>
        <v>-1.64</v>
      </c>
      <c r="L13" s="180"/>
      <c r="M13" s="180"/>
      <c r="N13" s="180"/>
      <c r="O13" s="180"/>
      <c r="P13" s="180"/>
      <c r="Q13" s="180"/>
      <c r="R13" s="180"/>
      <c r="S13" s="180"/>
      <c r="T13" s="180"/>
      <c r="W13" s="114" t="s">
        <v>690</v>
      </c>
      <c r="X13" s="32"/>
      <c r="Y13" s="32"/>
      <c r="Z13" s="32"/>
      <c r="AA13" s="32"/>
      <c r="AB13" s="32"/>
      <c r="AC13" s="32"/>
      <c r="AD13" s="32"/>
      <c r="AE13" s="115"/>
      <c r="AF13" s="114" t="s">
        <v>690</v>
      </c>
      <c r="AG13" s="32"/>
      <c r="AH13" s="32"/>
      <c r="AI13" s="32"/>
      <c r="AJ13" s="32"/>
      <c r="AK13" s="32"/>
      <c r="AL13" s="32"/>
      <c r="AM13" s="32"/>
      <c r="AN13" s="32"/>
      <c r="AO13" s="32"/>
      <c r="AP13" s="115"/>
      <c r="AV13" s="114" t="s">
        <v>690</v>
      </c>
      <c r="AW13" s="32"/>
      <c r="AX13" s="32"/>
      <c r="AY13" s="32"/>
      <c r="AZ13" s="32"/>
      <c r="BA13" s="32"/>
      <c r="BB13" s="32"/>
      <c r="BC13" s="32"/>
      <c r="BD13" s="115"/>
      <c r="BE13" s="32" t="s">
        <v>690</v>
      </c>
      <c r="BF13" s="32"/>
      <c r="BG13" s="32"/>
      <c r="BH13" s="32"/>
      <c r="BI13" s="32"/>
      <c r="BJ13" s="32"/>
      <c r="BK13" s="32"/>
      <c r="BL13" s="32"/>
      <c r="BM13" s="32"/>
      <c r="BN13" s="32"/>
      <c r="BO13" s="115"/>
      <c r="BT13" s="114" t="s">
        <v>690</v>
      </c>
      <c r="BU13" s="32"/>
      <c r="BV13" s="32"/>
      <c r="BW13" s="32"/>
      <c r="BX13" s="32"/>
      <c r="BY13" s="32"/>
      <c r="BZ13" s="32"/>
      <c r="CA13" s="32"/>
      <c r="CB13" s="115"/>
      <c r="CC13" s="114" t="s">
        <v>690</v>
      </c>
      <c r="CD13" s="32"/>
      <c r="CE13" s="32"/>
      <c r="CF13" s="32"/>
      <c r="CG13" s="32"/>
      <c r="CH13" s="32"/>
      <c r="CI13" s="32"/>
      <c r="CJ13" s="32"/>
      <c r="CK13" s="32"/>
      <c r="CL13" s="32"/>
      <c r="CM13" s="115"/>
    </row>
    <row r="14" spans="1:92" x14ac:dyDescent="0.25">
      <c r="A14" s="10" t="s">
        <v>796</v>
      </c>
      <c r="B14" s="161">
        <v>0</v>
      </c>
      <c r="C14" s="161">
        <f>B12</f>
        <v>0.192</v>
      </c>
      <c r="D14" s="161">
        <f t="shared" ref="D14:J14" si="7">C12</f>
        <v>0.157</v>
      </c>
      <c r="E14" s="161">
        <f t="shared" si="7"/>
        <v>0.121</v>
      </c>
      <c r="F14" s="161">
        <f t="shared" si="7"/>
        <v>8.5999999999999993E-2</v>
      </c>
      <c r="G14" s="161">
        <f t="shared" si="7"/>
        <v>5.2999999999999999E-2</v>
      </c>
      <c r="H14" s="161">
        <f t="shared" si="7"/>
        <v>3.6999999999999998E-2</v>
      </c>
      <c r="I14" s="161">
        <f t="shared" si="7"/>
        <v>2.5000000000000001E-2</v>
      </c>
      <c r="J14" s="161">
        <f t="shared" si="7"/>
        <v>1.4E-2</v>
      </c>
      <c r="K14" s="161">
        <f>J12</f>
        <v>0.105</v>
      </c>
      <c r="L14" s="161"/>
      <c r="M14" s="161"/>
      <c r="N14" s="161"/>
      <c r="O14" s="161"/>
      <c r="P14" s="161"/>
      <c r="Q14" s="161"/>
      <c r="R14" s="161"/>
      <c r="S14" s="161"/>
      <c r="T14" s="161"/>
      <c r="W14" s="168"/>
      <c r="X14" s="127" t="s">
        <v>695</v>
      </c>
      <c r="Y14" s="127" t="s">
        <v>696</v>
      </c>
      <c r="Z14" s="127" t="s">
        <v>697</v>
      </c>
      <c r="AA14" s="127" t="s">
        <v>698</v>
      </c>
      <c r="AB14" s="127" t="s">
        <v>699</v>
      </c>
      <c r="AC14" s="32"/>
      <c r="AD14" s="32"/>
      <c r="AE14" s="115"/>
      <c r="AF14" s="168"/>
      <c r="AG14" s="127" t="s">
        <v>695</v>
      </c>
      <c r="AH14" s="127" t="s">
        <v>696</v>
      </c>
      <c r="AI14" s="127" t="s">
        <v>697</v>
      </c>
      <c r="AJ14" s="127" t="s">
        <v>698</v>
      </c>
      <c r="AK14" s="127" t="s">
        <v>699</v>
      </c>
      <c r="AL14" s="32"/>
      <c r="AM14" s="32"/>
      <c r="AN14" s="32"/>
      <c r="AO14" s="32"/>
      <c r="AP14" s="115"/>
      <c r="AV14" s="168"/>
      <c r="AW14" s="127" t="s">
        <v>695</v>
      </c>
      <c r="AX14" s="127" t="s">
        <v>696</v>
      </c>
      <c r="AY14" s="127" t="s">
        <v>697</v>
      </c>
      <c r="AZ14" s="127" t="s">
        <v>698</v>
      </c>
      <c r="BA14" s="127" t="s">
        <v>699</v>
      </c>
      <c r="BB14" s="32"/>
      <c r="BC14" s="32"/>
      <c r="BD14" s="115"/>
      <c r="BE14" s="127"/>
      <c r="BF14" s="127" t="s">
        <v>695</v>
      </c>
      <c r="BG14" s="127" t="s">
        <v>696</v>
      </c>
      <c r="BH14" s="127" t="s">
        <v>697</v>
      </c>
      <c r="BI14" s="127" t="s">
        <v>698</v>
      </c>
      <c r="BJ14" s="127" t="s">
        <v>699</v>
      </c>
      <c r="BK14" s="32"/>
      <c r="BL14" s="32"/>
      <c r="BM14" s="32"/>
      <c r="BN14" s="32"/>
      <c r="BO14" s="115"/>
      <c r="BT14" s="168"/>
      <c r="BU14" s="127" t="s">
        <v>695</v>
      </c>
      <c r="BV14" s="127" t="s">
        <v>696</v>
      </c>
      <c r="BW14" s="127" t="s">
        <v>697</v>
      </c>
      <c r="BX14" s="127" t="s">
        <v>698</v>
      </c>
      <c r="BY14" s="127" t="s">
        <v>699</v>
      </c>
      <c r="BZ14" s="32"/>
      <c r="CA14" s="32"/>
      <c r="CB14" s="115"/>
      <c r="CC14" s="168"/>
      <c r="CD14" s="127" t="s">
        <v>695</v>
      </c>
      <c r="CE14" s="127" t="s">
        <v>696</v>
      </c>
      <c r="CF14" s="127" t="s">
        <v>697</v>
      </c>
      <c r="CG14" s="127" t="s">
        <v>698</v>
      </c>
      <c r="CH14" s="127" t="s">
        <v>699</v>
      </c>
      <c r="CI14" s="32"/>
      <c r="CJ14" s="32"/>
      <c r="CK14" s="32"/>
      <c r="CL14" s="32"/>
      <c r="CM14" s="115"/>
    </row>
    <row r="15" spans="1:92" x14ac:dyDescent="0.25">
      <c r="A15" s="179" t="s">
        <v>734</v>
      </c>
      <c r="B15" s="180">
        <v>0</v>
      </c>
      <c r="C15" s="180">
        <v>0.151</v>
      </c>
      <c r="D15" s="180">
        <v>8.8999999999999996E-2</v>
      </c>
      <c r="E15" s="180">
        <v>-4.3999999999999997E-2</v>
      </c>
      <c r="F15" s="180">
        <v>0.13900000000000001</v>
      </c>
      <c r="G15" s="180">
        <v>4.0000000000000001E-3</v>
      </c>
      <c r="H15" s="180">
        <v>8.4000000000000005E-2</v>
      </c>
      <c r="I15" s="180">
        <v>-0.27600000000000002</v>
      </c>
      <c r="J15" s="180">
        <v>-0.129</v>
      </c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W15" s="166" t="s">
        <v>691</v>
      </c>
      <c r="X15" s="125">
        <v>3</v>
      </c>
      <c r="Y15" s="125">
        <v>5.1136802696424208</v>
      </c>
      <c r="Z15" s="125">
        <v>1.7045600898808069</v>
      </c>
      <c r="AA15" s="125">
        <v>1.0078502723963292</v>
      </c>
      <c r="AB15" s="177">
        <v>0.4620305700539129</v>
      </c>
      <c r="AC15" s="32"/>
      <c r="AD15" s="32"/>
      <c r="AE15" s="115"/>
      <c r="AF15" s="166" t="s">
        <v>691</v>
      </c>
      <c r="AG15" s="125">
        <v>1</v>
      </c>
      <c r="AH15" s="125">
        <v>4.7328256916649991</v>
      </c>
      <c r="AI15" s="125">
        <v>4.7328256916649991</v>
      </c>
      <c r="AJ15" s="125">
        <v>3.7488704488956053</v>
      </c>
      <c r="AK15" s="177">
        <v>9.4059834155374972E-2</v>
      </c>
      <c r="AL15" s="32"/>
      <c r="AM15" s="32"/>
      <c r="AN15" s="32"/>
      <c r="AO15" s="32"/>
      <c r="AP15" s="115"/>
      <c r="AV15" s="166" t="s">
        <v>691</v>
      </c>
      <c r="AW15" s="125">
        <v>1</v>
      </c>
      <c r="AX15" s="125">
        <v>2.3276006120972938E-2</v>
      </c>
      <c r="AY15" s="125">
        <v>2.3276006120972938E-2</v>
      </c>
      <c r="AZ15" s="125">
        <v>23.431492704501114</v>
      </c>
      <c r="BA15" s="129">
        <v>1.8764442513299301E-3</v>
      </c>
      <c r="BB15" s="32"/>
      <c r="BC15" s="32"/>
      <c r="BD15" s="115"/>
      <c r="BE15" s="125" t="s">
        <v>691</v>
      </c>
      <c r="BF15" s="125">
        <v>2</v>
      </c>
      <c r="BG15" s="125">
        <v>2.3401342313427751E-2</v>
      </c>
      <c r="BH15" s="125">
        <v>1.1700671156713876E-2</v>
      </c>
      <c r="BI15" s="125">
        <v>10.281463752061477</v>
      </c>
      <c r="BJ15" s="129">
        <v>1.1524602109696738E-2</v>
      </c>
      <c r="BK15" s="32"/>
      <c r="BL15" s="32"/>
      <c r="BM15" s="32"/>
      <c r="BN15" s="32"/>
      <c r="BO15" s="115"/>
      <c r="BT15" s="166" t="s">
        <v>691</v>
      </c>
      <c r="BU15" s="125">
        <v>1</v>
      </c>
      <c r="BV15" s="125">
        <v>3.0772809977903132E-2</v>
      </c>
      <c r="BW15" s="125">
        <v>3.0772809977903132E-2</v>
      </c>
      <c r="BX15" s="125">
        <v>1.7793747819228201</v>
      </c>
      <c r="BY15" s="177">
        <v>0.2239890392871183</v>
      </c>
      <c r="BZ15" s="32"/>
      <c r="CA15" s="32"/>
      <c r="CB15" s="115"/>
      <c r="CC15" s="166" t="s">
        <v>691</v>
      </c>
      <c r="CD15" s="125">
        <v>1</v>
      </c>
      <c r="CE15" s="125">
        <v>4.8030049987713708E-3</v>
      </c>
      <c r="CF15" s="125">
        <v>4.8030049987713708E-3</v>
      </c>
      <c r="CG15" s="177">
        <v>0.22866941987271716</v>
      </c>
      <c r="CH15" s="125">
        <v>0.64708552778941542</v>
      </c>
      <c r="CI15" s="32"/>
      <c r="CJ15" s="32"/>
      <c r="CK15" s="32"/>
      <c r="CL15" s="32"/>
      <c r="CM15" s="115"/>
    </row>
    <row r="16" spans="1:92" x14ac:dyDescent="0.25">
      <c r="A16" s="179" t="s">
        <v>1048</v>
      </c>
      <c r="B16" s="180">
        <v>35.774000000000001</v>
      </c>
      <c r="C16" s="180">
        <v>18.945</v>
      </c>
      <c r="D16" s="180">
        <v>31.212</v>
      </c>
      <c r="E16" s="180">
        <v>51.746000000000002</v>
      </c>
      <c r="F16" s="180">
        <v>31.209</v>
      </c>
      <c r="G16" s="180">
        <v>17.619</v>
      </c>
      <c r="H16" s="180">
        <v>21.331</v>
      </c>
      <c r="I16" s="180">
        <v>2.9359999999999999</v>
      </c>
      <c r="J16" s="180">
        <v>7.3209999999999997</v>
      </c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W16" s="166" t="s">
        <v>692</v>
      </c>
      <c r="X16" s="125">
        <v>5</v>
      </c>
      <c r="Y16" s="125">
        <v>8.4564152859131347</v>
      </c>
      <c r="Z16" s="125">
        <v>1.6912830571826269</v>
      </c>
      <c r="AA16" s="125"/>
      <c r="AB16" s="125"/>
      <c r="AC16" s="32"/>
      <c r="AD16" s="32"/>
      <c r="AE16" s="115"/>
      <c r="AF16" s="166" t="s">
        <v>692</v>
      </c>
      <c r="AG16" s="125">
        <v>7</v>
      </c>
      <c r="AH16" s="125">
        <v>8.8372698638905565</v>
      </c>
      <c r="AI16" s="125">
        <v>1.2624671234129365</v>
      </c>
      <c r="AJ16" s="125"/>
      <c r="AK16" s="125"/>
      <c r="AL16" s="32"/>
      <c r="AM16" s="32"/>
      <c r="AN16" s="32"/>
      <c r="AO16" s="32"/>
      <c r="AP16" s="115"/>
      <c r="AW16" s="166" t="s">
        <v>692</v>
      </c>
      <c r="AX16" s="125">
        <v>7</v>
      </c>
      <c r="AY16" s="125">
        <v>6.9535494345826223E-3</v>
      </c>
      <c r="AZ16" s="125">
        <v>9.9336420494037462E-4</v>
      </c>
      <c r="BA16" s="125"/>
      <c r="BB16" s="125"/>
      <c r="BC16" s="32"/>
      <c r="BD16" s="32"/>
      <c r="BE16" s="115"/>
      <c r="BF16" s="125" t="s">
        <v>692</v>
      </c>
      <c r="BG16" s="125">
        <v>6</v>
      </c>
      <c r="BH16" s="125">
        <v>6.8282132421278105E-3</v>
      </c>
      <c r="BI16" s="125">
        <v>1.1380355403546351E-3</v>
      </c>
      <c r="BJ16" s="125"/>
      <c r="BK16" s="125"/>
      <c r="BL16" s="32"/>
      <c r="BM16" s="32"/>
      <c r="BN16" s="32"/>
      <c r="BO16" s="32"/>
      <c r="BP16" s="115"/>
      <c r="BU16" s="166" t="s">
        <v>692</v>
      </c>
      <c r="BV16" s="125">
        <v>7</v>
      </c>
      <c r="BW16" s="125">
        <v>0.12105919002209692</v>
      </c>
      <c r="BX16" s="125">
        <v>1.7294170003156702E-2</v>
      </c>
      <c r="BY16" s="125"/>
      <c r="BZ16" s="125"/>
      <c r="CA16" s="32"/>
      <c r="CB16" s="32"/>
      <c r="CC16" s="115"/>
      <c r="CD16" s="166" t="s">
        <v>692</v>
      </c>
      <c r="CE16" s="125">
        <v>7</v>
      </c>
      <c r="CF16" s="125">
        <v>0.14702899500122868</v>
      </c>
      <c r="CG16" s="125">
        <v>2.1004142143032669E-2</v>
      </c>
      <c r="CH16" s="125"/>
      <c r="CI16" s="125"/>
      <c r="CJ16" s="32"/>
      <c r="CK16" s="32"/>
      <c r="CL16" s="32"/>
      <c r="CM16" s="32"/>
      <c r="CN16" s="115"/>
    </row>
    <row r="17" spans="1:92" ht="15.75" thickBot="1" x14ac:dyDescent="0.3">
      <c r="A17" s="179" t="s">
        <v>1047</v>
      </c>
      <c r="B17" s="180">
        <v>42.264000000000003</v>
      </c>
      <c r="C17" s="180">
        <f>B16</f>
        <v>35.774000000000001</v>
      </c>
      <c r="D17" s="180">
        <f t="shared" ref="D17:K17" si="8">C16</f>
        <v>18.945</v>
      </c>
      <c r="E17" s="180">
        <f t="shared" si="8"/>
        <v>31.212</v>
      </c>
      <c r="F17" s="180">
        <f t="shared" si="8"/>
        <v>51.746000000000002</v>
      </c>
      <c r="G17" s="180">
        <f t="shared" si="8"/>
        <v>31.209</v>
      </c>
      <c r="H17" s="180">
        <f t="shared" si="8"/>
        <v>17.619</v>
      </c>
      <c r="I17" s="180">
        <f t="shared" si="8"/>
        <v>21.331</v>
      </c>
      <c r="J17" s="180">
        <f t="shared" si="8"/>
        <v>2.9359999999999999</v>
      </c>
      <c r="K17" s="180">
        <f t="shared" si="8"/>
        <v>7.3209999999999997</v>
      </c>
      <c r="L17" s="180"/>
      <c r="M17" s="180"/>
      <c r="N17" s="180"/>
      <c r="O17" s="180"/>
      <c r="P17" s="180"/>
      <c r="Q17" s="180"/>
      <c r="R17" s="180"/>
      <c r="S17" s="180"/>
      <c r="T17" s="180"/>
      <c r="W17" s="167" t="s">
        <v>693</v>
      </c>
      <c r="X17" s="126">
        <v>8</v>
      </c>
      <c r="Y17" s="126">
        <v>13.570095555555556</v>
      </c>
      <c r="Z17" s="126"/>
      <c r="AA17" s="126"/>
      <c r="AB17" s="126"/>
      <c r="AC17" s="32"/>
      <c r="AD17" s="32"/>
      <c r="AE17" s="115"/>
      <c r="AF17" s="167" t="s">
        <v>693</v>
      </c>
      <c r="AG17" s="126">
        <v>8</v>
      </c>
      <c r="AH17" s="126">
        <v>13.570095555555556</v>
      </c>
      <c r="AI17" s="126"/>
      <c r="AJ17" s="126"/>
      <c r="AK17" s="126"/>
      <c r="AL17" s="32"/>
      <c r="AM17" s="32"/>
      <c r="AN17" s="32"/>
      <c r="AO17" s="32"/>
      <c r="AP17" s="115"/>
      <c r="AW17" s="167" t="s">
        <v>693</v>
      </c>
      <c r="AX17" s="126">
        <v>8</v>
      </c>
      <c r="AY17" s="126">
        <v>3.0229555555555562E-2</v>
      </c>
      <c r="AZ17" s="126"/>
      <c r="BA17" s="126"/>
      <c r="BB17" s="126"/>
      <c r="BC17" s="32"/>
      <c r="BD17" s="32"/>
      <c r="BE17" s="115"/>
      <c r="BF17" s="126" t="s">
        <v>693</v>
      </c>
      <c r="BG17" s="126">
        <v>8</v>
      </c>
      <c r="BH17" s="126">
        <v>3.0229555555555562E-2</v>
      </c>
      <c r="BI17" s="126"/>
      <c r="BJ17" s="126"/>
      <c r="BK17" s="126"/>
      <c r="BL17" s="32"/>
      <c r="BM17" s="32"/>
      <c r="BN17" s="32"/>
      <c r="BO17" s="32"/>
      <c r="BP17" s="115"/>
      <c r="BU17" s="167" t="s">
        <v>693</v>
      </c>
      <c r="BV17" s="126">
        <v>8</v>
      </c>
      <c r="BW17" s="126">
        <v>0.15183200000000005</v>
      </c>
      <c r="BX17" s="126"/>
      <c r="BY17" s="126"/>
      <c r="BZ17" s="126"/>
      <c r="CA17" s="32"/>
      <c r="CB17" s="32"/>
      <c r="CC17" s="115"/>
      <c r="CD17" s="167" t="s">
        <v>693</v>
      </c>
      <c r="CE17" s="126">
        <v>8</v>
      </c>
      <c r="CF17" s="126">
        <v>0.15183200000000005</v>
      </c>
      <c r="CG17" s="126"/>
      <c r="CH17" s="126"/>
      <c r="CI17" s="126"/>
      <c r="CJ17" s="32"/>
      <c r="CK17" s="32"/>
      <c r="CL17" s="32"/>
      <c r="CM17" s="32"/>
      <c r="CN17" s="115"/>
    </row>
    <row r="18" spans="1:92" ht="15.75" thickBot="1" x14ac:dyDescent="0.3">
      <c r="W18" s="114"/>
      <c r="X18" s="32"/>
      <c r="Y18" s="32"/>
      <c r="Z18" s="32"/>
      <c r="AA18" s="32"/>
      <c r="AB18" s="32"/>
      <c r="AC18" s="32"/>
      <c r="AD18" s="32"/>
      <c r="AE18" s="115"/>
      <c r="AF18" s="114"/>
      <c r="AG18" s="32"/>
      <c r="AH18" s="32"/>
      <c r="AI18" s="32"/>
      <c r="AJ18" s="32"/>
      <c r="AK18" s="32"/>
      <c r="AL18" s="32"/>
      <c r="AM18" s="32"/>
      <c r="AN18" s="32"/>
      <c r="AO18" s="32"/>
      <c r="AP18" s="115"/>
      <c r="AW18" s="114"/>
      <c r="AX18" s="32"/>
      <c r="AY18" s="32"/>
      <c r="AZ18" s="32"/>
      <c r="BA18" s="32"/>
      <c r="BB18" s="32"/>
      <c r="BC18" s="32"/>
      <c r="BD18" s="32"/>
      <c r="BE18" s="115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115"/>
      <c r="BU18" s="114"/>
      <c r="BV18" s="32"/>
      <c r="BW18" s="32"/>
      <c r="BX18" s="32"/>
      <c r="BY18" s="32"/>
      <c r="BZ18" s="32"/>
      <c r="CA18" s="32"/>
      <c r="CB18" s="32"/>
      <c r="CC18" s="115"/>
      <c r="CD18" s="114"/>
      <c r="CE18" s="32"/>
      <c r="CF18" s="32"/>
      <c r="CG18" s="32"/>
      <c r="CH18" s="32"/>
      <c r="CI18" s="32"/>
      <c r="CJ18" s="32"/>
      <c r="CK18" s="32"/>
      <c r="CL18" s="32"/>
      <c r="CM18" s="32"/>
      <c r="CN18" s="115"/>
    </row>
    <row r="19" spans="1:92" x14ac:dyDescent="0.25">
      <c r="A19" t="s">
        <v>1035</v>
      </c>
      <c r="B19" s="50"/>
      <c r="W19" s="168"/>
      <c r="X19" s="127" t="s">
        <v>700</v>
      </c>
      <c r="Y19" s="127" t="s">
        <v>688</v>
      </c>
      <c r="Z19" s="127" t="s">
        <v>701</v>
      </c>
      <c r="AA19" s="127" t="s">
        <v>702</v>
      </c>
      <c r="AB19" s="127" t="s">
        <v>703</v>
      </c>
      <c r="AC19" s="127" t="s">
        <v>704</v>
      </c>
      <c r="AD19" s="127" t="s">
        <v>705</v>
      </c>
      <c r="AE19" s="191" t="s">
        <v>706</v>
      </c>
      <c r="AF19" s="168"/>
      <c r="AG19" s="127" t="s">
        <v>700</v>
      </c>
      <c r="AH19" s="127" t="s">
        <v>688</v>
      </c>
      <c r="AI19" s="127" t="s">
        <v>701</v>
      </c>
      <c r="AJ19" s="127" t="s">
        <v>702</v>
      </c>
      <c r="AK19" s="127" t="s">
        <v>703</v>
      </c>
      <c r="AL19" s="127" t="s">
        <v>704</v>
      </c>
      <c r="AM19" s="127" t="s">
        <v>705</v>
      </c>
      <c r="AN19" s="127" t="s">
        <v>706</v>
      </c>
      <c r="AO19" s="32"/>
      <c r="AP19" s="115"/>
      <c r="AW19" s="168"/>
      <c r="AX19" s="127" t="s">
        <v>700</v>
      </c>
      <c r="AY19" s="127" t="s">
        <v>688</v>
      </c>
      <c r="AZ19" s="127" t="s">
        <v>701</v>
      </c>
      <c r="BA19" s="127" t="s">
        <v>702</v>
      </c>
      <c r="BB19" s="127" t="s">
        <v>703</v>
      </c>
      <c r="BC19" s="127" t="s">
        <v>704</v>
      </c>
      <c r="BD19" s="127" t="s">
        <v>705</v>
      </c>
      <c r="BE19" s="191" t="s">
        <v>706</v>
      </c>
      <c r="BF19" s="127"/>
      <c r="BG19" s="127" t="s">
        <v>700</v>
      </c>
      <c r="BH19" s="127" t="s">
        <v>688</v>
      </c>
      <c r="BI19" s="127" t="s">
        <v>701</v>
      </c>
      <c r="BJ19" s="127" t="s">
        <v>702</v>
      </c>
      <c r="BK19" s="127" t="s">
        <v>703</v>
      </c>
      <c r="BL19" s="127" t="s">
        <v>704</v>
      </c>
      <c r="BM19" s="127" t="s">
        <v>705</v>
      </c>
      <c r="BN19" s="127" t="s">
        <v>706</v>
      </c>
      <c r="BO19" s="32"/>
      <c r="BP19" s="115"/>
      <c r="BU19" s="168"/>
      <c r="BV19" s="127" t="s">
        <v>700</v>
      </c>
      <c r="BW19" s="127" t="s">
        <v>688</v>
      </c>
      <c r="BX19" s="127" t="s">
        <v>701</v>
      </c>
      <c r="BY19" s="127" t="s">
        <v>702</v>
      </c>
      <c r="BZ19" s="127" t="s">
        <v>703</v>
      </c>
      <c r="CA19" s="127" t="s">
        <v>704</v>
      </c>
      <c r="CB19" s="127" t="s">
        <v>705</v>
      </c>
      <c r="CC19" s="191" t="s">
        <v>706</v>
      </c>
      <c r="CD19" s="168"/>
      <c r="CE19" s="127" t="s">
        <v>700</v>
      </c>
      <c r="CF19" s="127" t="s">
        <v>688</v>
      </c>
      <c r="CG19" s="127" t="s">
        <v>701</v>
      </c>
      <c r="CH19" s="127" t="s">
        <v>702</v>
      </c>
      <c r="CI19" s="127" t="s">
        <v>703</v>
      </c>
      <c r="CJ19" s="127" t="s">
        <v>704</v>
      </c>
      <c r="CK19" s="127" t="s">
        <v>705</v>
      </c>
      <c r="CL19" s="127" t="s">
        <v>706</v>
      </c>
      <c r="CM19" s="32"/>
      <c r="CN19" s="115"/>
    </row>
    <row r="20" spans="1:92" x14ac:dyDescent="0.25">
      <c r="A20" t="s">
        <v>791</v>
      </c>
      <c r="B20" s="50">
        <f t="shared" ref="B20:H20" si="9">B7-C7</f>
        <v>0.72699999999999987</v>
      </c>
      <c r="C20" s="50">
        <f t="shared" si="9"/>
        <v>0.72699999999999987</v>
      </c>
      <c r="D20" s="50">
        <f t="shared" si="9"/>
        <v>0.50800000000000012</v>
      </c>
      <c r="E20" s="50">
        <f t="shared" si="9"/>
        <v>0.20099999999999996</v>
      </c>
      <c r="F20" s="50">
        <f t="shared" si="9"/>
        <v>0.20100000000000001</v>
      </c>
      <c r="G20" s="50">
        <f t="shared" si="9"/>
        <v>0.20100000000000001</v>
      </c>
      <c r="H20" s="50">
        <f t="shared" si="9"/>
        <v>0.13400000000000001</v>
      </c>
      <c r="J20" s="50">
        <f>J7-K7</f>
        <v>4.3329999999999984</v>
      </c>
      <c r="K20" s="50"/>
      <c r="W20" s="166" t="s">
        <v>694</v>
      </c>
      <c r="X20" s="125">
        <v>-3.6843811977035883</v>
      </c>
      <c r="Y20" s="125">
        <v>3.0070654297288786</v>
      </c>
      <c r="Z20" s="125">
        <v>-1.2252414467868022</v>
      </c>
      <c r="AA20" s="177">
        <v>0.27504817946088661</v>
      </c>
      <c r="AB20" s="125">
        <v>-11.414288969934553</v>
      </c>
      <c r="AC20" s="125">
        <v>4.0455265745273774</v>
      </c>
      <c r="AD20" s="125">
        <v>-15.809298971276373</v>
      </c>
      <c r="AE20" s="192">
        <v>8.4405365758691957</v>
      </c>
      <c r="AF20" s="166" t="s">
        <v>694</v>
      </c>
      <c r="AG20" s="125">
        <v>-3.6865543387466628</v>
      </c>
      <c r="AH20" s="125">
        <v>0.85156919648285545</v>
      </c>
      <c r="AI20" s="125">
        <v>-4.3291306848261319</v>
      </c>
      <c r="AJ20" s="125">
        <v>3.4415054066222195E-3</v>
      </c>
      <c r="AK20" s="125">
        <v>-5.7001955126594037</v>
      </c>
      <c r="AL20" s="125">
        <v>-1.6729131648339215</v>
      </c>
      <c r="AM20" s="125">
        <v>-6.6666065183765966</v>
      </c>
      <c r="AN20" s="125">
        <v>-0.70650215911672865</v>
      </c>
      <c r="AO20" s="32"/>
      <c r="AP20" s="115"/>
      <c r="AW20" s="166" t="s">
        <v>694</v>
      </c>
      <c r="AX20" s="125">
        <v>3.3012901796861241E-2</v>
      </c>
      <c r="AY20" s="125">
        <v>1.5439304323238654E-2</v>
      </c>
      <c r="AZ20" s="125">
        <v>2.1382376502010829</v>
      </c>
      <c r="BA20" s="177">
        <v>6.9815761535868603E-2</v>
      </c>
      <c r="BB20" s="125">
        <v>-3.4952516335902059E-3</v>
      </c>
      <c r="BC20" s="125">
        <v>6.9521055227312695E-2</v>
      </c>
      <c r="BD20" s="125">
        <v>-2.1016685805023708E-2</v>
      </c>
      <c r="BE20" s="192">
        <v>8.704248939874619E-2</v>
      </c>
      <c r="BF20" s="125" t="s">
        <v>694</v>
      </c>
      <c r="BG20" s="125">
        <v>3.8891077605597811E-2</v>
      </c>
      <c r="BH20" s="125">
        <v>2.4224454209506072E-2</v>
      </c>
      <c r="BI20" s="125">
        <v>1.6054470110759531</v>
      </c>
      <c r="BJ20" s="125">
        <v>0.15951815423728927</v>
      </c>
      <c r="BK20" s="125">
        <v>-2.0384026487161241E-2</v>
      </c>
      <c r="BL20" s="125">
        <v>9.8166181698356864E-2</v>
      </c>
      <c r="BM20" s="125">
        <v>-5.091934273202401E-2</v>
      </c>
      <c r="BN20" s="125">
        <v>0.12870149794321964</v>
      </c>
      <c r="BO20" s="32"/>
      <c r="BP20" s="115"/>
      <c r="BU20" s="166" t="s">
        <v>694</v>
      </c>
      <c r="BV20" s="125">
        <v>-6.0969675415786545E-2</v>
      </c>
      <c r="BW20" s="125">
        <v>6.4420388012261312E-2</v>
      </c>
      <c r="BX20" s="125">
        <v>-0.94643446425970013</v>
      </c>
      <c r="BY20" s="177">
        <v>0.37544357348986257</v>
      </c>
      <c r="BZ20" s="125">
        <v>-0.21329968720659676</v>
      </c>
      <c r="CA20" s="125">
        <v>9.1360336375023665E-2</v>
      </c>
      <c r="CB20" s="125">
        <v>-0.28640774727353302</v>
      </c>
      <c r="CC20" s="192">
        <v>0.16446839644195996</v>
      </c>
      <c r="CD20" s="166" t="s">
        <v>694</v>
      </c>
      <c r="CE20" s="125">
        <v>3.2688266393904319E-2</v>
      </c>
      <c r="CF20" s="125">
        <v>8.0326025319755245E-2</v>
      </c>
      <c r="CG20" s="125">
        <v>0.40694490065681144</v>
      </c>
      <c r="CH20" s="177">
        <v>0.69620402825507099</v>
      </c>
      <c r="CI20" s="125">
        <v>-0.15725260111124501</v>
      </c>
      <c r="CJ20" s="125">
        <v>0.22262913389905364</v>
      </c>
      <c r="CK20" s="125">
        <v>-0.24841131755513207</v>
      </c>
      <c r="CL20" s="125">
        <v>0.31378785034294071</v>
      </c>
      <c r="CM20" s="32"/>
      <c r="CN20" s="115"/>
    </row>
    <row r="21" spans="1:92" ht="15.75" thickBot="1" x14ac:dyDescent="0.3">
      <c r="A21" t="s">
        <v>790</v>
      </c>
      <c r="B21" s="136">
        <f t="shared" ref="B21:H21" si="10">B20/B7</f>
        <v>0.26935902185994809</v>
      </c>
      <c r="C21" s="136">
        <f t="shared" si="10"/>
        <v>0.36866125760649082</v>
      </c>
      <c r="D21" s="136">
        <f t="shared" si="10"/>
        <v>0.40803212851405629</v>
      </c>
      <c r="E21" s="136">
        <f t="shared" si="10"/>
        <v>0.27272727272727265</v>
      </c>
      <c r="F21" s="136">
        <f t="shared" si="10"/>
        <v>0.375</v>
      </c>
      <c r="G21" s="136">
        <f t="shared" si="10"/>
        <v>0.6</v>
      </c>
      <c r="H21" s="136">
        <f t="shared" si="10"/>
        <v>1</v>
      </c>
      <c r="J21" s="136">
        <f>J20/J7</f>
        <v>0.1411124861590568</v>
      </c>
      <c r="W21" s="166" t="s">
        <v>404</v>
      </c>
      <c r="X21" s="125">
        <v>8.6453153697614391E-3</v>
      </c>
      <c r="Y21" s="125">
        <v>9.803315008855543E-3</v>
      </c>
      <c r="Z21" s="125">
        <v>0.8818767286322986</v>
      </c>
      <c r="AA21" s="177">
        <v>0.41821475848934342</v>
      </c>
      <c r="AB21" s="125">
        <v>-1.6554908121023483E-2</v>
      </c>
      <c r="AC21" s="125">
        <v>3.3845538860546358E-2</v>
      </c>
      <c r="AD21" s="125">
        <v>-3.0883052458777094E-2</v>
      </c>
      <c r="AE21" s="192">
        <v>4.8173683198299969E-2</v>
      </c>
      <c r="AF21" s="167" t="s">
        <v>404</v>
      </c>
      <c r="AG21" s="126">
        <v>7.8819259953076069E-3</v>
      </c>
      <c r="AH21" s="126">
        <v>4.0708222218552772E-3</v>
      </c>
      <c r="AI21" s="126">
        <v>1.9362000022971819</v>
      </c>
      <c r="AJ21" s="175">
        <v>9.4059834155374916E-2</v>
      </c>
      <c r="AK21" s="126">
        <v>-1.7440389544142055E-3</v>
      </c>
      <c r="AL21" s="126">
        <v>1.7507890945029421E-2</v>
      </c>
      <c r="AM21" s="126">
        <v>-6.3638483765581649E-3</v>
      </c>
      <c r="AN21" s="126">
        <v>2.2127700367173379E-2</v>
      </c>
      <c r="AO21" s="32"/>
      <c r="AP21" s="115"/>
      <c r="AW21" s="167" t="s">
        <v>781</v>
      </c>
      <c r="AX21" s="126">
        <v>4.4468051590423038E-2</v>
      </c>
      <c r="AY21" s="126">
        <v>9.186458611799642E-3</v>
      </c>
      <c r="AZ21" s="126">
        <v>4.8406087121870431</v>
      </c>
      <c r="BA21" s="133">
        <v>1.876444251329934E-3</v>
      </c>
      <c r="BB21" s="126">
        <v>2.2745528770708217E-2</v>
      </c>
      <c r="BC21" s="126">
        <v>6.6190574410137856E-2</v>
      </c>
      <c r="BD21" s="126">
        <v>1.2320193116628582E-2</v>
      </c>
      <c r="BE21" s="193">
        <v>7.6615910064217502E-2</v>
      </c>
      <c r="BF21" s="125" t="s">
        <v>781</v>
      </c>
      <c r="BG21" s="125">
        <v>4.8626579293629325E-2</v>
      </c>
      <c r="BH21" s="125">
        <v>1.5928051530088763E-2</v>
      </c>
      <c r="BI21" s="125">
        <v>3.0528893758142144</v>
      </c>
      <c r="BJ21" s="129">
        <v>2.2428610272652614E-2</v>
      </c>
      <c r="BK21" s="125">
        <v>9.6520412390073626E-3</v>
      </c>
      <c r="BL21" s="125">
        <v>8.7601117348251295E-2</v>
      </c>
      <c r="BM21" s="125">
        <v>-1.0425525274126782E-2</v>
      </c>
      <c r="BN21" s="125">
        <v>0.10767868386138543</v>
      </c>
      <c r="BO21" s="32"/>
      <c r="BP21" s="115"/>
      <c r="BU21" s="167" t="s">
        <v>781</v>
      </c>
      <c r="BV21" s="126">
        <v>5.1130194762006399E-2</v>
      </c>
      <c r="BW21" s="126">
        <v>3.8330433537731662E-2</v>
      </c>
      <c r="BX21" s="126">
        <v>1.3339320754531754</v>
      </c>
      <c r="BY21" s="175">
        <v>0.22398903928711894</v>
      </c>
      <c r="BZ21" s="126">
        <v>-3.950687795537932E-2</v>
      </c>
      <c r="CA21" s="126">
        <v>0.14176726747939211</v>
      </c>
      <c r="CB21" s="126">
        <v>-8.3006517183488782E-2</v>
      </c>
      <c r="CC21" s="193">
        <v>0.18526690670750157</v>
      </c>
      <c r="CD21" s="167" t="s">
        <v>738</v>
      </c>
      <c r="CE21" s="126">
        <v>-8.8693272258910888E-4</v>
      </c>
      <c r="CF21" s="126">
        <v>1.854755352755165E-3</v>
      </c>
      <c r="CG21" s="126">
        <v>-0.47819391450824272</v>
      </c>
      <c r="CH21" s="175">
        <v>0.64708552778941597</v>
      </c>
      <c r="CI21" s="126">
        <v>-5.2727322104855028E-3</v>
      </c>
      <c r="CJ21" s="126">
        <v>3.4988667653072848E-3</v>
      </c>
      <c r="CK21" s="126">
        <v>-7.3776181002272335E-3</v>
      </c>
      <c r="CL21" s="126">
        <v>5.6037526550490151E-3</v>
      </c>
      <c r="CM21" s="169"/>
      <c r="CN21" s="170"/>
    </row>
    <row r="22" spans="1:92" ht="15.75" thickBot="1" x14ac:dyDescent="0.3">
      <c r="A22" t="s">
        <v>1049</v>
      </c>
      <c r="B22" s="136">
        <f>SUM($B$20:$H$20,J20)/SUM($B$7:$H$7,J7)</f>
        <v>0.18329684078823894</v>
      </c>
      <c r="W22" s="166" t="s">
        <v>307</v>
      </c>
      <c r="X22" s="125">
        <v>-2.4007308246138195E-2</v>
      </c>
      <c r="Y22" s="125">
        <v>5.1106542487904034E-2</v>
      </c>
      <c r="Z22" s="125">
        <v>-0.46975019395648371</v>
      </c>
      <c r="AA22" s="177">
        <v>0.658307088903612</v>
      </c>
      <c r="AB22" s="125">
        <v>-0.15538085804771987</v>
      </c>
      <c r="AC22" s="125">
        <v>0.10736624155544347</v>
      </c>
      <c r="AD22" s="125">
        <v>-0.23007619495250758</v>
      </c>
      <c r="AE22" s="192">
        <v>0.18206157846023119</v>
      </c>
      <c r="AF22" s="114"/>
      <c r="AG22" s="32"/>
      <c r="AH22" s="32"/>
      <c r="AI22" s="32"/>
      <c r="AJ22" s="32"/>
      <c r="AK22" s="32"/>
      <c r="AL22" s="32"/>
      <c r="AM22" s="32"/>
      <c r="AN22" s="32"/>
      <c r="AO22" s="32"/>
      <c r="AP22" s="115"/>
      <c r="AW22" s="116"/>
      <c r="AX22" s="169"/>
      <c r="AY22" s="169"/>
      <c r="AZ22" s="169"/>
      <c r="BA22" s="169"/>
      <c r="BB22" s="169"/>
      <c r="BC22" s="169"/>
      <c r="BD22" s="169"/>
      <c r="BE22" s="170"/>
      <c r="BF22" s="126" t="s">
        <v>784</v>
      </c>
      <c r="BG22" s="126">
        <v>-2.4377420177534515E-2</v>
      </c>
      <c r="BH22" s="126">
        <v>7.3456022246282893E-2</v>
      </c>
      <c r="BI22" s="126">
        <v>-0.33186414717369328</v>
      </c>
      <c r="BJ22" s="126">
        <v>0.75127783311031937</v>
      </c>
      <c r="BK22" s="126">
        <v>-0.20411783154993268</v>
      </c>
      <c r="BL22" s="126">
        <v>0.15536299119486363</v>
      </c>
      <c r="BM22" s="126">
        <v>-0.29671033538846009</v>
      </c>
      <c r="BN22" s="126">
        <v>0.24795549503339104</v>
      </c>
      <c r="BO22" s="169"/>
      <c r="BP22" s="170"/>
      <c r="BU22" s="171" t="s">
        <v>793</v>
      </c>
      <c r="BV22" s="163"/>
      <c r="BW22" s="163"/>
      <c r="BX22" s="163"/>
      <c r="BY22" s="163"/>
      <c r="BZ22" s="163"/>
      <c r="CA22" s="163"/>
      <c r="CB22" s="163"/>
      <c r="CC22" s="113"/>
      <c r="CD22" s="171" t="s">
        <v>794</v>
      </c>
      <c r="CE22" s="163"/>
      <c r="CF22" s="163"/>
      <c r="CG22" s="163"/>
      <c r="CH22" s="163"/>
      <c r="CI22" s="163"/>
      <c r="CJ22" s="163"/>
      <c r="CK22" s="163"/>
      <c r="CL22" s="163"/>
      <c r="CM22" s="163"/>
      <c r="CN22" s="113"/>
    </row>
    <row r="23" spans="1:92" ht="15.75" thickBot="1" x14ac:dyDescent="0.3">
      <c r="B23" s="26"/>
      <c r="W23" s="167" t="s">
        <v>773</v>
      </c>
      <c r="X23" s="126">
        <v>-0.11000361357762742</v>
      </c>
      <c r="Y23" s="126">
        <v>3.2767497753138408</v>
      </c>
      <c r="Z23" s="126">
        <v>-3.3570953267889211E-2</v>
      </c>
      <c r="AA23" s="175">
        <v>0.9745182264897887</v>
      </c>
      <c r="AB23" s="126">
        <v>-8.5331570659247618</v>
      </c>
      <c r="AC23" s="126">
        <v>8.3131498387695082</v>
      </c>
      <c r="AD23" s="126">
        <v>-13.322327228975499</v>
      </c>
      <c r="AE23" s="193">
        <v>13.102320001820246</v>
      </c>
      <c r="AF23" s="116"/>
      <c r="AG23" s="169"/>
      <c r="AH23" s="169"/>
      <c r="AI23" s="169"/>
      <c r="AJ23" s="169"/>
      <c r="AK23" s="169"/>
      <c r="AL23" s="169"/>
      <c r="AM23" s="169"/>
      <c r="AN23" s="169"/>
      <c r="AO23" s="169"/>
      <c r="AP23" s="170"/>
      <c r="AW23" s="171" t="s">
        <v>787</v>
      </c>
      <c r="AX23" s="163"/>
      <c r="AY23" s="163"/>
      <c r="AZ23" s="163"/>
      <c r="BA23" s="163"/>
      <c r="BB23" s="163"/>
      <c r="BC23" s="163"/>
      <c r="BD23" s="163"/>
      <c r="BE23" s="113"/>
      <c r="BF23" s="171" t="s">
        <v>788</v>
      </c>
      <c r="BU23" s="114" t="s">
        <v>740</v>
      </c>
      <c r="BV23" s="32"/>
      <c r="BW23" s="32"/>
      <c r="BX23" s="32"/>
      <c r="BY23" s="32"/>
      <c r="BZ23" s="32"/>
      <c r="CA23" s="32"/>
      <c r="CB23" s="32"/>
      <c r="CC23" s="115"/>
      <c r="CD23" s="114" t="s">
        <v>740</v>
      </c>
      <c r="CE23" s="32"/>
      <c r="CF23" s="32"/>
      <c r="CG23" s="32"/>
      <c r="CH23" s="32"/>
      <c r="CI23" s="32"/>
      <c r="CJ23" s="32"/>
      <c r="CK23" s="32"/>
      <c r="CL23" s="32"/>
      <c r="CM23" s="32"/>
      <c r="CN23" s="115"/>
    </row>
    <row r="24" spans="1:92" ht="15.75" thickBot="1" x14ac:dyDescent="0.3">
      <c r="A24" t="s">
        <v>1036</v>
      </c>
      <c r="W24" s="171" t="s">
        <v>776</v>
      </c>
      <c r="X24" s="163"/>
      <c r="Y24" s="163"/>
      <c r="Z24" s="163"/>
      <c r="AA24" s="163"/>
      <c r="AB24" s="163"/>
      <c r="AC24" s="163"/>
      <c r="AD24" s="163"/>
      <c r="AE24" s="113"/>
      <c r="AF24" s="171" t="s">
        <v>777</v>
      </c>
      <c r="AG24" s="163"/>
      <c r="AH24" s="163"/>
      <c r="AI24" s="163"/>
      <c r="AJ24" s="163"/>
      <c r="AK24" s="163"/>
      <c r="AL24" s="163"/>
      <c r="AM24" s="163"/>
      <c r="AN24" s="163"/>
      <c r="AO24" s="163"/>
      <c r="AP24" s="113"/>
      <c r="AW24" s="114" t="s">
        <v>740</v>
      </c>
      <c r="AX24" s="32"/>
      <c r="AY24" s="32"/>
      <c r="AZ24" s="32"/>
      <c r="BA24" s="32"/>
      <c r="BB24" s="32"/>
      <c r="BC24" s="32"/>
      <c r="BD24" s="32"/>
      <c r="BE24" s="115"/>
      <c r="BF24" t="s">
        <v>740</v>
      </c>
      <c r="BU24" s="114"/>
      <c r="BV24" s="32"/>
      <c r="BW24" s="32"/>
      <c r="BX24" s="32"/>
      <c r="BY24" s="32"/>
      <c r="BZ24" s="32"/>
      <c r="CA24" s="32"/>
      <c r="CB24" s="32"/>
      <c r="CC24" s="115"/>
      <c r="CD24" s="114"/>
      <c r="CE24" s="32"/>
      <c r="CF24" s="32"/>
      <c r="CG24" s="32"/>
      <c r="CH24" s="32"/>
      <c r="CI24" s="32"/>
      <c r="CJ24" s="32"/>
      <c r="CK24" s="32"/>
      <c r="CL24" s="32"/>
      <c r="CM24" s="32"/>
      <c r="CN24" s="115"/>
    </row>
    <row r="25" spans="1:92" ht="15.75" thickBot="1" x14ac:dyDescent="0.3">
      <c r="A25" t="s">
        <v>791</v>
      </c>
      <c r="B25" s="254">
        <f t="shared" ref="B25:I25" si="11">B10-C10</f>
        <v>2.0000000000000018E-3</v>
      </c>
      <c r="C25" s="254">
        <f t="shared" si="11"/>
        <v>2.0000000000000018E-3</v>
      </c>
      <c r="D25" s="254">
        <f t="shared" si="11"/>
        <v>0.21999999999999997</v>
      </c>
      <c r="E25" s="254">
        <f t="shared" si="11"/>
        <v>0.308</v>
      </c>
      <c r="F25" s="254">
        <f t="shared" si="11"/>
        <v>1.0000000000000009E-3</v>
      </c>
      <c r="G25" s="254">
        <f t="shared" si="11"/>
        <v>0</v>
      </c>
      <c r="H25" s="254">
        <f t="shared" si="11"/>
        <v>6.8000000000000005E-2</v>
      </c>
      <c r="I25" s="254">
        <f t="shared" si="11"/>
        <v>4.6000000000000013E-2</v>
      </c>
      <c r="J25" s="254"/>
      <c r="W25" s="114" t="s">
        <v>740</v>
      </c>
      <c r="X25" s="32"/>
      <c r="Y25" s="32"/>
      <c r="Z25" s="32"/>
      <c r="AA25" s="32"/>
      <c r="AB25" s="32"/>
      <c r="AC25" s="32"/>
      <c r="AD25" s="32"/>
      <c r="AE25" s="115"/>
      <c r="AF25" s="114" t="s">
        <v>740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115"/>
      <c r="AW25" s="114"/>
      <c r="AX25" s="32"/>
      <c r="AY25" s="32"/>
      <c r="AZ25" s="32"/>
      <c r="BA25" s="32"/>
      <c r="BB25" s="32"/>
      <c r="BC25" s="32"/>
      <c r="BD25" s="32"/>
      <c r="BE25" s="115"/>
      <c r="BU25" s="165" t="s">
        <v>684</v>
      </c>
      <c r="BV25" s="128"/>
      <c r="BW25" s="32"/>
      <c r="BX25" s="32"/>
      <c r="BY25" s="32"/>
      <c r="BZ25" s="32"/>
      <c r="CA25" s="32"/>
      <c r="CB25" s="32"/>
      <c r="CC25" s="115"/>
      <c r="CD25" s="165" t="s">
        <v>684</v>
      </c>
      <c r="CE25" s="128"/>
      <c r="CF25" s="32"/>
      <c r="CG25" s="32"/>
      <c r="CH25" s="32"/>
      <c r="CI25" s="32"/>
      <c r="CJ25" s="32"/>
      <c r="CK25" s="32"/>
      <c r="CL25" s="32"/>
      <c r="CM25" s="32"/>
      <c r="CN25" s="115"/>
    </row>
    <row r="26" spans="1:92" ht="15.75" thickBot="1" x14ac:dyDescent="0.3">
      <c r="A26" t="s">
        <v>790</v>
      </c>
      <c r="B26" s="136">
        <f t="shared" ref="B26:I26" si="12">B25/B10</f>
        <v>2.7210884353741521E-3</v>
      </c>
      <c r="C26" s="136">
        <f t="shared" si="12"/>
        <v>2.7285129604365647E-3</v>
      </c>
      <c r="D26" s="136">
        <f t="shared" si="12"/>
        <v>0.30095759233926128</v>
      </c>
      <c r="E26" s="136">
        <f t="shared" si="12"/>
        <v>0.60273972602739723</v>
      </c>
      <c r="F26" s="136">
        <f t="shared" si="12"/>
        <v>4.9261083743842408E-3</v>
      </c>
      <c r="G26" s="136">
        <f t="shared" si="12"/>
        <v>0</v>
      </c>
      <c r="H26" s="136">
        <f t="shared" si="12"/>
        <v>0.33663366336633666</v>
      </c>
      <c r="I26" s="136">
        <f t="shared" si="12"/>
        <v>0.34328358208955234</v>
      </c>
      <c r="J26" s="136"/>
      <c r="W26" s="114"/>
      <c r="X26" s="32"/>
      <c r="Y26" s="32"/>
      <c r="Z26" s="32"/>
      <c r="AA26" s="32"/>
      <c r="AB26" s="32"/>
      <c r="AC26" s="32"/>
      <c r="AD26" s="32"/>
      <c r="AE26" s="115"/>
      <c r="AF26" s="114"/>
      <c r="AG26" s="32"/>
      <c r="AH26" s="32"/>
      <c r="AI26" s="32"/>
      <c r="AJ26" s="32"/>
      <c r="AK26" s="32"/>
      <c r="AL26" s="32"/>
      <c r="AM26" s="32"/>
      <c r="AN26" s="32"/>
      <c r="AO26" s="32"/>
      <c r="AP26" s="115"/>
      <c r="AW26" s="165" t="s">
        <v>684</v>
      </c>
      <c r="AX26" s="128"/>
      <c r="AY26" s="32"/>
      <c r="AZ26" s="32"/>
      <c r="BA26" s="32"/>
      <c r="BB26" s="32"/>
      <c r="BC26" s="32"/>
      <c r="BD26" s="32"/>
      <c r="BE26" s="115"/>
      <c r="BF26" s="128" t="s">
        <v>684</v>
      </c>
      <c r="BG26" s="128"/>
      <c r="BU26" s="166" t="s">
        <v>685</v>
      </c>
      <c r="BV26" s="125">
        <v>0.55178410873910333</v>
      </c>
      <c r="BW26" s="32"/>
      <c r="BX26" s="32"/>
      <c r="BY26" s="32"/>
      <c r="BZ26" s="32"/>
      <c r="CA26" s="32"/>
      <c r="CB26" s="32"/>
      <c r="CC26" s="115"/>
      <c r="CD26" s="166" t="s">
        <v>685</v>
      </c>
      <c r="CE26" s="125">
        <v>0.58278525859800645</v>
      </c>
      <c r="CF26" s="32"/>
      <c r="CG26" s="32"/>
      <c r="CH26" s="32"/>
      <c r="CI26" s="32"/>
      <c r="CJ26" s="32"/>
      <c r="CK26" s="32"/>
      <c r="CL26" s="32"/>
      <c r="CM26" s="32"/>
      <c r="CN26" s="115"/>
    </row>
    <row r="27" spans="1:92" x14ac:dyDescent="0.25">
      <c r="A27" t="s">
        <v>1034</v>
      </c>
      <c r="B27" s="136">
        <f>SUM(B25:I25)/SUM(B10:I10)</f>
        <v>0.18748188930744714</v>
      </c>
      <c r="W27" s="168" t="s">
        <v>684</v>
      </c>
      <c r="X27" s="127"/>
      <c r="Y27" s="32"/>
      <c r="Z27" s="32"/>
      <c r="AA27" s="32"/>
      <c r="AB27" s="32"/>
      <c r="AC27" s="32"/>
      <c r="AD27" s="32"/>
      <c r="AE27" s="115"/>
      <c r="AF27" s="168" t="s">
        <v>684</v>
      </c>
      <c r="AG27" s="127"/>
      <c r="AH27" s="32"/>
      <c r="AI27" s="32"/>
      <c r="AJ27" s="32"/>
      <c r="AK27" s="32"/>
      <c r="AL27" s="32"/>
      <c r="AM27" s="32"/>
      <c r="AN27" s="32"/>
      <c r="AO27" s="32"/>
      <c r="AP27" s="115"/>
      <c r="AW27" s="166" t="s">
        <v>685</v>
      </c>
      <c r="AX27" s="125">
        <v>0.63260821955277136</v>
      </c>
      <c r="AY27" s="32"/>
      <c r="AZ27" s="32"/>
      <c r="BA27" s="32"/>
      <c r="BB27" s="32"/>
      <c r="BC27" s="32"/>
      <c r="BD27" s="32"/>
      <c r="BE27" s="115"/>
      <c r="BF27" s="125" t="s">
        <v>685</v>
      </c>
      <c r="BG27" s="125">
        <v>0.19252157717385091</v>
      </c>
      <c r="BU27" s="166" t="s">
        <v>686</v>
      </c>
      <c r="BV27" s="125">
        <v>0.30446570265700662</v>
      </c>
      <c r="BW27" s="32"/>
      <c r="BX27" s="32"/>
      <c r="BY27" s="32"/>
      <c r="BZ27" s="32"/>
      <c r="CA27" s="32"/>
      <c r="CB27" s="32"/>
      <c r="CC27" s="115"/>
      <c r="CD27" s="166" t="s">
        <v>686</v>
      </c>
      <c r="CE27" s="125">
        <v>0.33963865763914525</v>
      </c>
      <c r="CF27" s="32"/>
      <c r="CG27" s="32"/>
      <c r="CH27" s="32"/>
      <c r="CI27" s="32"/>
      <c r="CJ27" s="32"/>
      <c r="CK27" s="32"/>
      <c r="CL27" s="32"/>
      <c r="CM27" s="32"/>
      <c r="CN27" s="115"/>
    </row>
    <row r="28" spans="1:92" x14ac:dyDescent="0.25">
      <c r="W28" s="166" t="s">
        <v>685</v>
      </c>
      <c r="X28" s="125">
        <v>9.8658568424383919E-2</v>
      </c>
      <c r="Y28" s="32"/>
      <c r="Z28" s="32"/>
      <c r="AA28" s="32"/>
      <c r="AB28" s="32"/>
      <c r="AC28" s="32"/>
      <c r="AD28" s="32"/>
      <c r="AE28" s="115"/>
      <c r="AF28" s="166" t="s">
        <v>685</v>
      </c>
      <c r="AG28" s="125">
        <v>0.52288761590300903</v>
      </c>
      <c r="AH28" s="32"/>
      <c r="AI28" s="32"/>
      <c r="AJ28" s="32"/>
      <c r="AK28" s="32"/>
      <c r="AL28" s="32"/>
      <c r="AM28" s="32"/>
      <c r="AN28" s="32"/>
      <c r="AO28" s="32"/>
      <c r="AP28" s="115"/>
      <c r="AW28" s="166" t="s">
        <v>686</v>
      </c>
      <c r="AX28" s="125">
        <v>0.40019315944572742</v>
      </c>
      <c r="AY28" s="32"/>
      <c r="AZ28" s="32"/>
      <c r="BA28" s="32"/>
      <c r="BB28" s="32"/>
      <c r="BC28" s="32"/>
      <c r="BD28" s="32"/>
      <c r="BE28" s="115"/>
      <c r="BF28" s="125" t="s">
        <v>686</v>
      </c>
      <c r="BG28" s="125">
        <v>3.7064557677507035E-2</v>
      </c>
      <c r="BU28" s="166" t="s">
        <v>687</v>
      </c>
      <c r="BV28" s="125">
        <v>7.2620936876008832E-2</v>
      </c>
      <c r="BW28" s="32"/>
      <c r="BX28" s="32"/>
      <c r="BY28" s="32"/>
      <c r="BZ28" s="32"/>
      <c r="CA28" s="32"/>
      <c r="CB28" s="32"/>
      <c r="CC28" s="115"/>
      <c r="CD28" s="166" t="s">
        <v>687</v>
      </c>
      <c r="CE28" s="125">
        <v>0.245301323016166</v>
      </c>
      <c r="CF28" s="32"/>
      <c r="CG28" s="32"/>
      <c r="CH28" s="32"/>
      <c r="CI28" s="32"/>
      <c r="CJ28" s="32"/>
      <c r="CK28" s="32"/>
      <c r="CL28" s="32"/>
      <c r="CM28" s="32"/>
      <c r="CN28" s="115"/>
    </row>
    <row r="29" spans="1:92" x14ac:dyDescent="0.25">
      <c r="A29" t="s">
        <v>733</v>
      </c>
      <c r="B29" s="50">
        <f t="shared" ref="B29:J29" si="13">B11</f>
        <v>-5.26</v>
      </c>
      <c r="C29" s="50">
        <f t="shared" si="13"/>
        <v>-2.4289999999999998</v>
      </c>
      <c r="D29" s="50">
        <f t="shared" si="13"/>
        <v>-1.4910000000000001</v>
      </c>
      <c r="E29" s="50">
        <f t="shared" si="13"/>
        <v>-2.3490000000000002</v>
      </c>
      <c r="F29" s="50">
        <f t="shared" si="13"/>
        <v>-1.403</v>
      </c>
      <c r="G29" s="50">
        <f t="shared" si="13"/>
        <v>-0.93799999999999994</v>
      </c>
      <c r="H29" s="50">
        <f t="shared" si="13"/>
        <v>-2.9079999999999999</v>
      </c>
      <c r="I29" s="50">
        <f t="shared" si="13"/>
        <v>-1.4339999999999999</v>
      </c>
      <c r="J29" s="50">
        <f t="shared" si="13"/>
        <v>-1.64</v>
      </c>
      <c r="W29" s="166" t="s">
        <v>686</v>
      </c>
      <c r="X29" s="125">
        <v>9.733513123548844E-3</v>
      </c>
      <c r="Y29" s="32"/>
      <c r="Z29" s="32"/>
      <c r="AA29" s="32"/>
      <c r="AB29" s="32"/>
      <c r="AC29" s="32"/>
      <c r="AD29" s="32"/>
      <c r="AE29" s="115"/>
      <c r="AF29" s="166" t="s">
        <v>686</v>
      </c>
      <c r="AG29" s="125">
        <v>0.27341145886473273</v>
      </c>
      <c r="AH29" s="32"/>
      <c r="AI29" s="32"/>
      <c r="AJ29" s="32"/>
      <c r="AK29" s="32"/>
      <c r="AL29" s="32"/>
      <c r="AM29" s="32"/>
      <c r="AN29" s="32"/>
      <c r="AO29" s="32"/>
      <c r="AP29" s="115"/>
      <c r="AW29" s="166" t="s">
        <v>687</v>
      </c>
      <c r="AX29" s="125">
        <v>0.31450646793797421</v>
      </c>
      <c r="AY29" s="32"/>
      <c r="AZ29" s="32"/>
      <c r="BA29" s="32"/>
      <c r="BB29" s="32"/>
      <c r="BC29" s="32"/>
      <c r="BD29" s="32"/>
      <c r="BE29" s="115"/>
      <c r="BF29" s="125" t="s">
        <v>687</v>
      </c>
      <c r="BG29" s="125">
        <v>-0.10049764836856338</v>
      </c>
      <c r="BU29" s="166" t="s">
        <v>688</v>
      </c>
      <c r="BV29" s="125">
        <v>0.1326677324711259</v>
      </c>
      <c r="BW29" s="32"/>
      <c r="BX29" s="32"/>
      <c r="BY29" s="32"/>
      <c r="BZ29" s="32"/>
      <c r="CA29" s="32"/>
      <c r="CB29" s="32"/>
      <c r="CC29" s="115"/>
      <c r="CD29" s="166" t="s">
        <v>688</v>
      </c>
      <c r="CE29" s="125">
        <v>0.11968051717166078</v>
      </c>
      <c r="CF29" s="32"/>
      <c r="CG29" s="32"/>
      <c r="CH29" s="32"/>
      <c r="CI29" s="32"/>
      <c r="CJ29" s="32"/>
      <c r="CK29" s="32"/>
      <c r="CL29" s="32"/>
      <c r="CM29" s="32"/>
      <c r="CN29" s="115"/>
    </row>
    <row r="30" spans="1:92" ht="15.75" thickBot="1" x14ac:dyDescent="0.3">
      <c r="A30" t="s">
        <v>1039</v>
      </c>
      <c r="B30" s="135">
        <f t="shared" ref="B30:I30" si="14">-(B29/SUM(B8:B9))</f>
        <v>1.3032705649157579</v>
      </c>
      <c r="C30" s="135">
        <f t="shared" si="14"/>
        <v>0.70733838089691325</v>
      </c>
      <c r="D30" s="135">
        <f t="shared" si="14"/>
        <v>0.55120147874306846</v>
      </c>
      <c r="E30" s="135">
        <f t="shared" si="14"/>
        <v>1.1887651821862348</v>
      </c>
      <c r="F30" s="135">
        <f t="shared" si="14"/>
        <v>1.1241987179487181</v>
      </c>
      <c r="G30" s="135">
        <f t="shared" si="14"/>
        <v>1.2692828146143436</v>
      </c>
      <c r="H30" s="135">
        <f t="shared" si="14"/>
        <v>5.4152700186219738</v>
      </c>
      <c r="I30" s="135">
        <f t="shared" si="14"/>
        <v>4.2678571428571423</v>
      </c>
      <c r="J30" s="135">
        <f>-(J29/SUM(J7,J10))</f>
        <v>5.3257128011950379E-2</v>
      </c>
      <c r="W30" s="209" t="s">
        <v>687</v>
      </c>
      <c r="X30" s="177">
        <v>-0.13173312785880134</v>
      </c>
      <c r="Y30" s="32"/>
      <c r="Z30" s="32"/>
      <c r="AA30" s="32"/>
      <c r="AB30" s="32"/>
      <c r="AC30" s="32"/>
      <c r="AD30" s="32"/>
      <c r="AE30" s="115"/>
      <c r="AF30" s="209" t="s">
        <v>687</v>
      </c>
      <c r="AG30" s="177">
        <v>0.16961309584540882</v>
      </c>
      <c r="AH30" s="32"/>
      <c r="AI30" s="32"/>
      <c r="AJ30" s="32"/>
      <c r="AK30" s="32"/>
      <c r="AL30" s="32"/>
      <c r="AM30" s="32"/>
      <c r="AN30" s="32"/>
      <c r="AO30" s="32"/>
      <c r="AP30" s="115"/>
      <c r="AW30" s="166" t="s">
        <v>688</v>
      </c>
      <c r="AX30" s="125">
        <v>5.0894701112251133E-2</v>
      </c>
      <c r="AY30" s="32"/>
      <c r="AZ30" s="32"/>
      <c r="BA30" s="32"/>
      <c r="BB30" s="32"/>
      <c r="BC30" s="32"/>
      <c r="BD30" s="32"/>
      <c r="BE30" s="115"/>
      <c r="BF30" s="125" t="s">
        <v>688</v>
      </c>
      <c r="BG30" s="125">
        <v>6.4486001194169779E-2</v>
      </c>
      <c r="BU30" s="167" t="s">
        <v>689</v>
      </c>
      <c r="BV30" s="126">
        <v>9</v>
      </c>
      <c r="BW30" s="32"/>
      <c r="BX30" s="32"/>
      <c r="BY30" s="32"/>
      <c r="BZ30" s="32"/>
      <c r="CA30" s="32"/>
      <c r="CB30" s="32"/>
      <c r="CC30" s="115"/>
      <c r="CD30" s="167" t="s">
        <v>689</v>
      </c>
      <c r="CE30" s="126">
        <v>9</v>
      </c>
      <c r="CF30" s="32"/>
      <c r="CG30" s="32"/>
      <c r="CH30" s="32"/>
      <c r="CI30" s="32"/>
      <c r="CJ30" s="32"/>
      <c r="CK30" s="32"/>
      <c r="CL30" s="32"/>
      <c r="CM30" s="32"/>
      <c r="CN30" s="115"/>
    </row>
    <row r="31" spans="1:92" ht="15.75" thickBot="1" x14ac:dyDescent="0.3">
      <c r="A31" t="s">
        <v>1040</v>
      </c>
      <c r="B31" s="135">
        <f t="shared" ref="B31:J31" si="15">-(B29/SUM(B7,B10))</f>
        <v>1.5317414094350612</v>
      </c>
      <c r="C31" s="135">
        <f t="shared" si="15"/>
        <v>0.89796672828096114</v>
      </c>
      <c r="D31" s="135">
        <f t="shared" si="15"/>
        <v>0.75455465587044546</v>
      </c>
      <c r="E31" s="135">
        <f t="shared" si="15"/>
        <v>1.8822115384615385</v>
      </c>
      <c r="F31" s="135">
        <f t="shared" si="15"/>
        <v>1.8985115020297698</v>
      </c>
      <c r="G31" s="135">
        <f t="shared" si="15"/>
        <v>1.7467411545623834</v>
      </c>
      <c r="H31" s="135">
        <f t="shared" si="15"/>
        <v>8.6547619047619033</v>
      </c>
      <c r="I31" s="135">
        <f t="shared" si="15"/>
        <v>10.701492537313431</v>
      </c>
      <c r="J31" s="135">
        <f t="shared" si="15"/>
        <v>5.3257128011950379E-2</v>
      </c>
      <c r="W31" s="166" t="s">
        <v>688</v>
      </c>
      <c r="X31" s="125">
        <v>1.3855381034291203</v>
      </c>
      <c r="Y31" s="32"/>
      <c r="Z31" s="32"/>
      <c r="AA31" s="32"/>
      <c r="AB31" s="32"/>
      <c r="AC31" s="32"/>
      <c r="AD31" s="32"/>
      <c r="AE31" s="115"/>
      <c r="AF31" s="166" t="s">
        <v>688</v>
      </c>
      <c r="AG31" s="125">
        <v>1.186825052264431</v>
      </c>
      <c r="AH31" s="32"/>
      <c r="AI31" s="32"/>
      <c r="AJ31" s="32"/>
      <c r="AK31" s="32"/>
      <c r="AL31" s="32"/>
      <c r="AM31" s="32"/>
      <c r="AN31" s="32"/>
      <c r="AO31" s="32"/>
      <c r="AP31" s="115"/>
      <c r="AW31" s="167" t="s">
        <v>689</v>
      </c>
      <c r="AX31" s="126">
        <v>9</v>
      </c>
      <c r="AY31" s="32"/>
      <c r="AZ31" s="32"/>
      <c r="BA31" s="32"/>
      <c r="BB31" s="32"/>
      <c r="BC31" s="32"/>
      <c r="BD31" s="32"/>
      <c r="BE31" s="115"/>
      <c r="BF31" s="126" t="s">
        <v>689</v>
      </c>
      <c r="BG31" s="126">
        <v>9</v>
      </c>
      <c r="BU31" s="114"/>
      <c r="BV31" s="32"/>
      <c r="BW31" s="32"/>
      <c r="BX31" s="32"/>
      <c r="BY31" s="32"/>
      <c r="BZ31" s="32"/>
      <c r="CA31" s="32"/>
      <c r="CB31" s="32"/>
      <c r="CC31" s="115"/>
      <c r="CD31" s="114"/>
      <c r="CE31" s="32"/>
      <c r="CF31" s="32"/>
      <c r="CG31" s="32"/>
      <c r="CH31" s="32"/>
      <c r="CI31" s="32"/>
      <c r="CJ31" s="32"/>
      <c r="CK31" s="32"/>
      <c r="CL31" s="32"/>
      <c r="CM31" s="32"/>
      <c r="CN31" s="115"/>
    </row>
    <row r="32" spans="1:92" ht="15.75" thickBot="1" x14ac:dyDescent="0.3">
      <c r="A32" t="s">
        <v>1041</v>
      </c>
      <c r="B32" s="136">
        <f>-(B29/B17)</f>
        <v>0.12445580162786295</v>
      </c>
      <c r="C32" s="136">
        <f t="shared" ref="C32:J32" si="16">-(C29/C17)</f>
        <v>6.7898473751886845E-2</v>
      </c>
      <c r="D32" s="136">
        <f t="shared" si="16"/>
        <v>7.8701504354711016E-2</v>
      </c>
      <c r="E32" s="136">
        <f t="shared" si="16"/>
        <v>7.5259515570934257E-2</v>
      </c>
      <c r="F32" s="136">
        <f t="shared" si="16"/>
        <v>2.7113206817918293E-2</v>
      </c>
      <c r="G32" s="136">
        <f t="shared" si="16"/>
        <v>3.0055432727738793E-2</v>
      </c>
      <c r="H32" s="136">
        <f t="shared" si="16"/>
        <v>0.16504909472728305</v>
      </c>
      <c r="I32" s="136">
        <f t="shared" si="16"/>
        <v>6.7226102854999761E-2</v>
      </c>
      <c r="J32" s="136">
        <f t="shared" si="16"/>
        <v>0.55858310626703001</v>
      </c>
      <c r="W32" s="167" t="s">
        <v>689</v>
      </c>
      <c r="X32" s="126">
        <v>9</v>
      </c>
      <c r="Y32" s="32"/>
      <c r="Z32" s="32"/>
      <c r="AA32" s="32"/>
      <c r="AB32" s="32"/>
      <c r="AC32" s="32"/>
      <c r="AD32" s="32"/>
      <c r="AE32" s="115"/>
      <c r="AF32" s="167" t="s">
        <v>689</v>
      </c>
      <c r="AG32" s="126">
        <v>9</v>
      </c>
      <c r="AH32" s="32"/>
      <c r="AI32" s="32"/>
      <c r="AJ32" s="32"/>
      <c r="AK32" s="32"/>
      <c r="AL32" s="32"/>
      <c r="AM32" s="32"/>
      <c r="AN32" s="32"/>
      <c r="AO32" s="32"/>
      <c r="AP32" s="115"/>
      <c r="AW32" s="114"/>
      <c r="AX32" s="32"/>
      <c r="AY32" s="32"/>
      <c r="AZ32" s="32"/>
      <c r="BA32" s="32"/>
      <c r="BB32" s="32"/>
      <c r="BC32" s="32"/>
      <c r="BD32" s="32"/>
      <c r="BE32" s="115"/>
      <c r="BU32" s="114" t="s">
        <v>690</v>
      </c>
      <c r="BV32" s="32"/>
      <c r="BW32" s="32"/>
      <c r="BX32" s="32"/>
      <c r="BY32" s="32"/>
      <c r="BZ32" s="32"/>
      <c r="CA32" s="32"/>
      <c r="CB32" s="32"/>
      <c r="CC32" s="115"/>
      <c r="CD32" s="114" t="s">
        <v>690</v>
      </c>
      <c r="CE32" s="32"/>
      <c r="CF32" s="32"/>
      <c r="CG32" s="32"/>
      <c r="CH32" s="32"/>
      <c r="CI32" s="32"/>
      <c r="CJ32" s="32"/>
      <c r="CK32" s="32"/>
      <c r="CL32" s="32"/>
      <c r="CM32" s="32"/>
      <c r="CN32" s="115"/>
    </row>
    <row r="33" spans="1:92" ht="15.75" thickBot="1" x14ac:dyDescent="0.3">
      <c r="A33" t="s">
        <v>1042</v>
      </c>
      <c r="B33" s="136">
        <f>-(B29/B16)</f>
        <v>0.14703415888634203</v>
      </c>
      <c r="C33" s="136">
        <f t="shared" ref="C33:J33" si="17">-(C29/C16)</f>
        <v>0.12821324887833199</v>
      </c>
      <c r="D33" s="136">
        <f t="shared" si="17"/>
        <v>4.7770088427527876E-2</v>
      </c>
      <c r="E33" s="136">
        <f t="shared" si="17"/>
        <v>4.5394813125652224E-2</v>
      </c>
      <c r="F33" s="136">
        <f t="shared" si="17"/>
        <v>4.4954980934986705E-2</v>
      </c>
      <c r="G33" s="136">
        <f t="shared" si="17"/>
        <v>5.3237981724274928E-2</v>
      </c>
      <c r="H33" s="136">
        <f t="shared" si="17"/>
        <v>0.13632741081055741</v>
      </c>
      <c r="I33" s="136">
        <f t="shared" si="17"/>
        <v>0.48841961852861032</v>
      </c>
      <c r="J33" s="136">
        <f t="shared" si="17"/>
        <v>0.22401311296271001</v>
      </c>
      <c r="W33" s="114"/>
      <c r="X33" s="32"/>
      <c r="Y33" s="32"/>
      <c r="Z33" s="32"/>
      <c r="AA33" s="32"/>
      <c r="AB33" s="32"/>
      <c r="AC33" s="32"/>
      <c r="AD33" s="32"/>
      <c r="AE33" s="115"/>
      <c r="AF33" s="114"/>
      <c r="AG33" s="32"/>
      <c r="AH33" s="32"/>
      <c r="AI33" s="32"/>
      <c r="AJ33" s="32"/>
      <c r="AK33" s="32"/>
      <c r="AL33" s="32"/>
      <c r="AM33" s="32"/>
      <c r="AN33" s="32"/>
      <c r="AO33" s="32"/>
      <c r="AP33" s="115"/>
      <c r="AW33" s="114" t="s">
        <v>690</v>
      </c>
      <c r="AX33" s="32"/>
      <c r="AY33" s="32"/>
      <c r="AZ33" s="32"/>
      <c r="BA33" s="32"/>
      <c r="BB33" s="32"/>
      <c r="BC33" s="32"/>
      <c r="BD33" s="32"/>
      <c r="BE33" s="115"/>
      <c r="BF33" t="s">
        <v>690</v>
      </c>
      <c r="BU33" s="168"/>
      <c r="BV33" s="127" t="s">
        <v>695</v>
      </c>
      <c r="BW33" s="127" t="s">
        <v>696</v>
      </c>
      <c r="BX33" s="127" t="s">
        <v>697</v>
      </c>
      <c r="BY33" s="127" t="s">
        <v>698</v>
      </c>
      <c r="BZ33" s="127" t="s">
        <v>699</v>
      </c>
      <c r="CA33" s="32"/>
      <c r="CB33" s="32"/>
      <c r="CC33" s="115"/>
      <c r="CD33" s="168"/>
      <c r="CE33" s="127" t="s">
        <v>695</v>
      </c>
      <c r="CF33" s="127" t="s">
        <v>696</v>
      </c>
      <c r="CG33" s="127" t="s">
        <v>697</v>
      </c>
      <c r="CH33" s="127" t="s">
        <v>698</v>
      </c>
      <c r="CI33" s="127" t="s">
        <v>699</v>
      </c>
      <c r="CJ33" s="32"/>
      <c r="CK33" s="32"/>
      <c r="CL33" s="32"/>
      <c r="CM33" s="32"/>
      <c r="CN33" s="115"/>
    </row>
    <row r="34" spans="1:92" ht="15.75" thickBot="1" x14ac:dyDescent="0.3">
      <c r="A34" t="s">
        <v>1044</v>
      </c>
      <c r="B34">
        <f>-SUM(B29:J29)/SUM(B8:J9)</f>
        <v>1.3107956421261147</v>
      </c>
      <c r="W34" s="114" t="s">
        <v>690</v>
      </c>
      <c r="X34" s="32"/>
      <c r="Y34" s="32"/>
      <c r="Z34" s="32"/>
      <c r="AA34" s="32"/>
      <c r="AB34" s="32"/>
      <c r="AC34" s="32"/>
      <c r="AD34" s="32"/>
      <c r="AE34" s="115"/>
      <c r="AF34" s="114" t="s">
        <v>690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115"/>
      <c r="AW34" s="168"/>
      <c r="AX34" s="127" t="s">
        <v>695</v>
      </c>
      <c r="AY34" s="127" t="s">
        <v>696</v>
      </c>
      <c r="AZ34" s="127" t="s">
        <v>697</v>
      </c>
      <c r="BA34" s="127" t="s">
        <v>698</v>
      </c>
      <c r="BB34" s="127" t="s">
        <v>699</v>
      </c>
      <c r="BC34" s="32"/>
      <c r="BD34" s="32"/>
      <c r="BE34" s="115"/>
      <c r="BF34" s="127"/>
      <c r="BG34" s="127" t="s">
        <v>695</v>
      </c>
      <c r="BH34" s="127" t="s">
        <v>696</v>
      </c>
      <c r="BI34" s="127" t="s">
        <v>697</v>
      </c>
      <c r="BJ34" s="127" t="s">
        <v>698</v>
      </c>
      <c r="BK34" s="127" t="s">
        <v>699</v>
      </c>
      <c r="BU34" s="166" t="s">
        <v>691</v>
      </c>
      <c r="BV34" s="125">
        <v>2</v>
      </c>
      <c r="BW34" s="125">
        <v>4.6227636565818644E-2</v>
      </c>
      <c r="BX34" s="125">
        <v>2.3113818282909322E-2</v>
      </c>
      <c r="BY34" s="125">
        <v>1.3132308664867902</v>
      </c>
      <c r="BZ34" s="177">
        <v>0.33647720728738784</v>
      </c>
      <c r="CA34" s="32"/>
      <c r="CB34" s="32"/>
      <c r="CC34" s="115"/>
      <c r="CD34" s="166" t="s">
        <v>691</v>
      </c>
      <c r="CE34" s="125">
        <v>1</v>
      </c>
      <c r="CF34" s="125">
        <v>5.1568016666666716E-2</v>
      </c>
      <c r="CG34" s="125">
        <v>5.1568016666666716E-2</v>
      </c>
      <c r="CH34" s="125">
        <v>3.6002570879972056</v>
      </c>
      <c r="CI34" s="177">
        <v>9.9580999795719508E-2</v>
      </c>
      <c r="CJ34" s="32"/>
      <c r="CK34" s="32"/>
      <c r="CL34" s="32"/>
      <c r="CM34" s="32"/>
      <c r="CN34" s="115"/>
    </row>
    <row r="35" spans="1:92" x14ac:dyDescent="0.25">
      <c r="A35" t="s">
        <v>1043</v>
      </c>
      <c r="B35" s="136">
        <f>-SUM(B29:J29)/SUM(B7:J7,B10:J10)</f>
        <v>0.47376082858029267</v>
      </c>
      <c r="W35" s="168"/>
      <c r="X35" s="127" t="s">
        <v>695</v>
      </c>
      <c r="Y35" s="127" t="s">
        <v>696</v>
      </c>
      <c r="Z35" s="127" t="s">
        <v>697</v>
      </c>
      <c r="AA35" s="127" t="s">
        <v>698</v>
      </c>
      <c r="AB35" s="127" t="s">
        <v>699</v>
      </c>
      <c r="AC35" s="32"/>
      <c r="AD35" s="32"/>
      <c r="AE35" s="115"/>
      <c r="AF35" s="168"/>
      <c r="AG35" s="127" t="s">
        <v>695</v>
      </c>
      <c r="AH35" s="127" t="s">
        <v>696</v>
      </c>
      <c r="AI35" s="127" t="s">
        <v>697</v>
      </c>
      <c r="AJ35" s="127" t="s">
        <v>698</v>
      </c>
      <c r="AK35" s="127" t="s">
        <v>699</v>
      </c>
      <c r="AL35" s="32"/>
      <c r="AM35" s="32"/>
      <c r="AN35" s="32"/>
      <c r="AO35" s="32"/>
      <c r="AP35" s="115"/>
      <c r="AW35" s="166" t="s">
        <v>691</v>
      </c>
      <c r="AX35" s="125">
        <v>1</v>
      </c>
      <c r="AY35" s="125">
        <v>1.2097661346417921E-2</v>
      </c>
      <c r="AZ35" s="125">
        <v>1.2097661346417921E-2</v>
      </c>
      <c r="BA35" s="125">
        <v>4.6704237543063094</v>
      </c>
      <c r="BB35" s="125">
        <v>6.7496590249532362E-2</v>
      </c>
      <c r="BC35" s="32"/>
      <c r="BD35" s="32"/>
      <c r="BE35" s="115"/>
      <c r="BF35" s="125" t="s">
        <v>691</v>
      </c>
      <c r="BG35" s="125">
        <v>1</v>
      </c>
      <c r="BH35" s="125">
        <v>1.1204451054542923E-3</v>
      </c>
      <c r="BI35" s="125">
        <v>1.1204451054542923E-3</v>
      </c>
      <c r="BJ35" s="125">
        <v>0.26943852343494612</v>
      </c>
      <c r="BK35" s="177">
        <v>0.61971109510887301</v>
      </c>
      <c r="BU35" s="166" t="s">
        <v>692</v>
      </c>
      <c r="BV35" s="125">
        <v>6</v>
      </c>
      <c r="BW35" s="125">
        <v>0.10560436343418141</v>
      </c>
      <c r="BX35" s="125">
        <v>1.7600727239030233E-2</v>
      </c>
      <c r="BY35" s="125"/>
      <c r="BZ35" s="125"/>
      <c r="CA35" s="32"/>
      <c r="CB35" s="32"/>
      <c r="CC35" s="115"/>
      <c r="CD35" s="166" t="s">
        <v>692</v>
      </c>
      <c r="CE35" s="125">
        <v>7</v>
      </c>
      <c r="CF35" s="125">
        <v>0.10026398333333333</v>
      </c>
      <c r="CG35" s="125">
        <v>1.4323426190476191E-2</v>
      </c>
      <c r="CH35" s="125"/>
      <c r="CI35" s="125"/>
      <c r="CJ35" s="32"/>
      <c r="CK35" s="32"/>
      <c r="CL35" s="32"/>
      <c r="CM35" s="32"/>
      <c r="CN35" s="115"/>
    </row>
    <row r="36" spans="1:92" ht="15.75" thickBot="1" x14ac:dyDescent="0.3">
      <c r="A36" s="29" t="s">
        <v>1045</v>
      </c>
      <c r="B36" s="83">
        <f>-SUM(B29:J29)/SUM(B17:J17)</f>
        <v>7.8455239570653992E-2</v>
      </c>
      <c r="W36" s="166" t="s">
        <v>691</v>
      </c>
      <c r="X36" s="125">
        <v>1</v>
      </c>
      <c r="Y36" s="125">
        <v>0.13208470317781185</v>
      </c>
      <c r="Z36" s="125">
        <v>0.13208470317781185</v>
      </c>
      <c r="AA36" s="125">
        <v>6.880429941616574E-2</v>
      </c>
      <c r="AB36" s="177">
        <v>0.80063752900447116</v>
      </c>
      <c r="AC36" s="32"/>
      <c r="AD36" s="32"/>
      <c r="AE36" s="115"/>
      <c r="AF36" s="166" t="s">
        <v>691</v>
      </c>
      <c r="AG36" s="125">
        <v>1</v>
      </c>
      <c r="AH36" s="125">
        <v>3.7102196227782702</v>
      </c>
      <c r="AI36" s="125">
        <v>3.7102196227782702</v>
      </c>
      <c r="AJ36" s="125">
        <v>2.634063302268383</v>
      </c>
      <c r="AK36" s="177">
        <v>0.1486231982739189</v>
      </c>
      <c r="AL36" s="32"/>
      <c r="AM36" s="32"/>
      <c r="AN36" s="32"/>
      <c r="AO36" s="32"/>
      <c r="AP36" s="115"/>
      <c r="AW36" s="166" t="s">
        <v>692</v>
      </c>
      <c r="AX36" s="125">
        <v>7</v>
      </c>
      <c r="AY36" s="125">
        <v>1.813189420913764E-2</v>
      </c>
      <c r="AZ36" s="125">
        <v>2.590270601305377E-3</v>
      </c>
      <c r="BA36" s="125"/>
      <c r="BB36" s="125"/>
      <c r="BC36" s="32"/>
      <c r="BD36" s="32"/>
      <c r="BE36" s="115"/>
      <c r="BF36" s="125" t="s">
        <v>692</v>
      </c>
      <c r="BG36" s="125">
        <v>7</v>
      </c>
      <c r="BH36" s="125">
        <v>2.9109110450101269E-2</v>
      </c>
      <c r="BI36" s="125">
        <v>4.1584443500144669E-3</v>
      </c>
      <c r="BJ36" s="125"/>
      <c r="BK36" s="125"/>
      <c r="BU36" s="167" t="s">
        <v>693</v>
      </c>
      <c r="BV36" s="126">
        <v>8</v>
      </c>
      <c r="BW36" s="126">
        <v>0.15183200000000005</v>
      </c>
      <c r="BX36" s="126"/>
      <c r="BY36" s="126"/>
      <c r="BZ36" s="126"/>
      <c r="CA36" s="32"/>
      <c r="CB36" s="32"/>
      <c r="CC36" s="115"/>
      <c r="CD36" s="167" t="s">
        <v>693</v>
      </c>
      <c r="CE36" s="126">
        <v>8</v>
      </c>
      <c r="CF36" s="126">
        <v>0.15183200000000005</v>
      </c>
      <c r="CG36" s="126"/>
      <c r="CH36" s="126"/>
      <c r="CI36" s="126"/>
      <c r="CJ36" s="32"/>
      <c r="CK36" s="32"/>
      <c r="CL36" s="32"/>
      <c r="CM36" s="32"/>
      <c r="CN36" s="115"/>
    </row>
    <row r="37" spans="1:92" ht="15.75" thickBot="1" x14ac:dyDescent="0.3">
      <c r="A37" t="s">
        <v>1046</v>
      </c>
      <c r="B37" s="136">
        <f>-SUM(B29:J29)/SUM(B16:J16)</f>
        <v>9.1025388251800857E-2</v>
      </c>
      <c r="W37" s="166" t="s">
        <v>692</v>
      </c>
      <c r="X37" s="125">
        <v>7</v>
      </c>
      <c r="Y37" s="125">
        <v>13.438010852377744</v>
      </c>
      <c r="Z37" s="125">
        <v>1.9197158360539635</v>
      </c>
      <c r="AA37" s="125"/>
      <c r="AB37" s="125"/>
      <c r="AC37" s="32"/>
      <c r="AD37" s="32"/>
      <c r="AE37" s="115"/>
      <c r="AF37" s="166" t="s">
        <v>692</v>
      </c>
      <c r="AG37" s="125">
        <v>7</v>
      </c>
      <c r="AH37" s="125">
        <v>9.8598759327772854</v>
      </c>
      <c r="AI37" s="125">
        <v>1.4085537046824694</v>
      </c>
      <c r="AJ37" s="125"/>
      <c r="AK37" s="125"/>
      <c r="AL37" s="32"/>
      <c r="AM37" s="32"/>
      <c r="AN37" s="32"/>
      <c r="AO37" s="32"/>
      <c r="AP37" s="115"/>
      <c r="AW37" s="167" t="s">
        <v>693</v>
      </c>
      <c r="AX37" s="126">
        <v>8</v>
      </c>
      <c r="AY37" s="126">
        <v>3.0229555555555562E-2</v>
      </c>
      <c r="AZ37" s="126"/>
      <c r="BA37" s="126"/>
      <c r="BB37" s="126"/>
      <c r="BC37" s="32"/>
      <c r="BD37" s="32"/>
      <c r="BE37" s="115"/>
      <c r="BF37" s="126" t="s">
        <v>693</v>
      </c>
      <c r="BG37" s="126">
        <v>8</v>
      </c>
      <c r="BH37" s="126">
        <v>3.0229555555555562E-2</v>
      </c>
      <c r="BI37" s="126"/>
      <c r="BJ37" s="126"/>
      <c r="BK37" s="126"/>
      <c r="BU37" s="114"/>
      <c r="BV37" s="32"/>
      <c r="BW37" s="32"/>
      <c r="BX37" s="32"/>
      <c r="BY37" s="32"/>
      <c r="BZ37" s="32"/>
      <c r="CA37" s="32"/>
      <c r="CB37" s="32"/>
      <c r="CC37" s="115"/>
      <c r="CD37" s="114"/>
      <c r="CE37" s="32"/>
      <c r="CF37" s="32"/>
      <c r="CG37" s="32"/>
      <c r="CH37" s="32"/>
      <c r="CI37" s="32"/>
      <c r="CJ37" s="32"/>
      <c r="CK37" s="32"/>
      <c r="CL37" s="32"/>
      <c r="CM37" s="32"/>
      <c r="CN37" s="115"/>
    </row>
    <row r="38" spans="1:92" ht="15.75" thickBot="1" x14ac:dyDescent="0.3">
      <c r="W38" s="167" t="s">
        <v>693</v>
      </c>
      <c r="X38" s="126">
        <v>8</v>
      </c>
      <c r="Y38" s="126">
        <v>13.570095555555556</v>
      </c>
      <c r="Z38" s="126"/>
      <c r="AA38" s="126"/>
      <c r="AB38" s="126"/>
      <c r="AC38" s="32"/>
      <c r="AD38" s="32"/>
      <c r="AE38" s="115"/>
      <c r="AF38" s="167" t="s">
        <v>693</v>
      </c>
      <c r="AG38" s="126">
        <v>8</v>
      </c>
      <c r="AH38" s="126">
        <v>13.570095555555556</v>
      </c>
      <c r="AI38" s="126"/>
      <c r="AJ38" s="126"/>
      <c r="AK38" s="126"/>
      <c r="AL38" s="32"/>
      <c r="AM38" s="32"/>
      <c r="AN38" s="32"/>
      <c r="AO38" s="32"/>
      <c r="AP38" s="115"/>
      <c r="AW38" s="114"/>
      <c r="AX38" s="32"/>
      <c r="AY38" s="32"/>
      <c r="AZ38" s="32"/>
      <c r="BA38" s="32"/>
      <c r="BB38" s="32"/>
      <c r="BC38" s="32"/>
      <c r="BD38" s="32"/>
      <c r="BE38" s="115"/>
      <c r="BU38" s="168"/>
      <c r="BV38" s="127" t="s">
        <v>700</v>
      </c>
      <c r="BW38" s="127" t="s">
        <v>688</v>
      </c>
      <c r="BX38" s="127" t="s">
        <v>701</v>
      </c>
      <c r="BY38" s="127" t="s">
        <v>702</v>
      </c>
      <c r="BZ38" s="127" t="s">
        <v>703</v>
      </c>
      <c r="CA38" s="127" t="s">
        <v>704</v>
      </c>
      <c r="CB38" s="127" t="s">
        <v>705</v>
      </c>
      <c r="CC38" s="191" t="s">
        <v>706</v>
      </c>
      <c r="CD38" s="168"/>
      <c r="CE38" s="127" t="s">
        <v>700</v>
      </c>
      <c r="CF38" s="127" t="s">
        <v>688</v>
      </c>
      <c r="CG38" s="127" t="s">
        <v>701</v>
      </c>
      <c r="CH38" s="127" t="s">
        <v>702</v>
      </c>
      <c r="CI38" s="127" t="s">
        <v>703</v>
      </c>
      <c r="CJ38" s="127" t="s">
        <v>704</v>
      </c>
      <c r="CK38" s="127" t="s">
        <v>705</v>
      </c>
      <c r="CL38" s="127" t="s">
        <v>706</v>
      </c>
      <c r="CM38" s="32"/>
      <c r="CN38" s="115"/>
    </row>
    <row r="39" spans="1:92" ht="15.75" thickBot="1" x14ac:dyDescent="0.3">
      <c r="W39" s="114"/>
      <c r="X39" s="32"/>
      <c r="Y39" s="32"/>
      <c r="Z39" s="32"/>
      <c r="AA39" s="32"/>
      <c r="AB39" s="32"/>
      <c r="AC39" s="32"/>
      <c r="AD39" s="32"/>
      <c r="AE39" s="115"/>
      <c r="AF39" s="114"/>
      <c r="AG39" s="32"/>
      <c r="AH39" s="32"/>
      <c r="AI39" s="32"/>
      <c r="AJ39" s="32"/>
      <c r="AK39" s="32"/>
      <c r="AL39" s="32"/>
      <c r="AM39" s="32"/>
      <c r="AN39" s="32"/>
      <c r="AO39" s="32"/>
      <c r="AP39" s="115"/>
      <c r="AW39" s="168"/>
      <c r="AX39" s="127" t="s">
        <v>700</v>
      </c>
      <c r="AY39" s="127" t="s">
        <v>688</v>
      </c>
      <c r="AZ39" s="127" t="s">
        <v>701</v>
      </c>
      <c r="BA39" s="127" t="s">
        <v>702</v>
      </c>
      <c r="BB39" s="127" t="s">
        <v>703</v>
      </c>
      <c r="BC39" s="127" t="s">
        <v>704</v>
      </c>
      <c r="BD39" s="127" t="s">
        <v>705</v>
      </c>
      <c r="BE39" s="191" t="s">
        <v>706</v>
      </c>
      <c r="BF39" s="127"/>
      <c r="BG39" s="127" t="s">
        <v>700</v>
      </c>
      <c r="BH39" s="127" t="s">
        <v>688</v>
      </c>
      <c r="BI39" s="127" t="s">
        <v>701</v>
      </c>
      <c r="BJ39" s="127" t="s">
        <v>702</v>
      </c>
      <c r="BK39" s="127" t="s">
        <v>703</v>
      </c>
      <c r="BL39" s="127" t="s">
        <v>704</v>
      </c>
      <c r="BM39" s="127" t="s">
        <v>705</v>
      </c>
      <c r="BN39" s="127" t="s">
        <v>706</v>
      </c>
      <c r="BU39" s="166" t="s">
        <v>694</v>
      </c>
      <c r="BV39" s="125">
        <v>1.1964691095928889E-2</v>
      </c>
      <c r="BW39" s="125">
        <v>0.1226016337874017</v>
      </c>
      <c r="BX39" s="125">
        <v>9.7589980869882645E-2</v>
      </c>
      <c r="BY39" s="177">
        <v>0.92543627285590269</v>
      </c>
      <c r="BZ39" s="125">
        <v>-0.28803069958819988</v>
      </c>
      <c r="CA39" s="125">
        <v>0.31196008178005769</v>
      </c>
      <c r="CB39" s="125">
        <v>-0.44257204146768303</v>
      </c>
      <c r="CC39" s="192">
        <v>0.46650142365954084</v>
      </c>
      <c r="CD39" s="166" t="s">
        <v>694</v>
      </c>
      <c r="CE39" s="125">
        <v>59.22166666666665</v>
      </c>
      <c r="CF39" s="125">
        <v>31.210415920844699</v>
      </c>
      <c r="CG39" s="125">
        <v>1.897496874660805</v>
      </c>
      <c r="CH39" s="177">
        <v>9.9571844244333602E-2</v>
      </c>
      <c r="CI39" s="125">
        <v>-14.579239722060279</v>
      </c>
      <c r="CJ39" s="125">
        <v>133.02257305539359</v>
      </c>
      <c r="CK39" s="125">
        <v>-49.998662551691325</v>
      </c>
      <c r="CL39" s="125">
        <v>168.44199588502462</v>
      </c>
      <c r="CM39" s="32"/>
      <c r="CN39" s="115"/>
    </row>
    <row r="40" spans="1:92" ht="15.75" thickBot="1" x14ac:dyDescent="0.3">
      <c r="A40" t="str" cm="1">
        <f t="array" ref="A40:O49">TRANSPOSE(A1:J15)</f>
        <v>Ano</v>
      </c>
      <c r="B40" t="str">
        <v>Receita</v>
      </c>
      <c r="C40" t="str">
        <v>Capital Investido (T-1)</v>
      </c>
      <c r="D40" t="str">
        <v>Lucro (Prejuízo) operacional (EBIT/LAJIR)</v>
      </c>
      <c r="E40" t="str">
        <v>Capital Investido</v>
      </c>
      <c r="F40" t="str">
        <v>Capital Investido (T-1)</v>
      </c>
      <c r="G40" t="str">
        <v>Dívida LP</v>
      </c>
      <c r="H40" t="str">
        <v>Dívida LP (t-1)</v>
      </c>
      <c r="I40" t="str">
        <v>Dívida CP (t-1)</v>
      </c>
      <c r="J40" t="str">
        <v>Dívida CP</v>
      </c>
      <c r="K40" t="str">
        <v>Despesa de juros, líq</v>
      </c>
      <c r="L40" t="str">
        <v>Despesa com juros</v>
      </c>
      <c r="M40" t="str">
        <v>Despesa de juros, líq (t-1)</v>
      </c>
      <c r="N40" t="str">
        <v>Despesa com juros (t-1)</v>
      </c>
      <c r="O40" t="str">
        <v>Outros Prejuízos (Lucros) não op</v>
      </c>
      <c r="W40" s="168"/>
      <c r="X40" s="127" t="s">
        <v>700</v>
      </c>
      <c r="Y40" s="127" t="s">
        <v>688</v>
      </c>
      <c r="Z40" s="127" t="s">
        <v>701</v>
      </c>
      <c r="AA40" s="127" t="s">
        <v>702</v>
      </c>
      <c r="AB40" s="127" t="s">
        <v>703</v>
      </c>
      <c r="AC40" s="127" t="s">
        <v>704</v>
      </c>
      <c r="AD40" s="127" t="s">
        <v>705</v>
      </c>
      <c r="AE40" s="191" t="s">
        <v>706</v>
      </c>
      <c r="AF40" s="168"/>
      <c r="AG40" s="127" t="s">
        <v>700</v>
      </c>
      <c r="AH40" s="127" t="s">
        <v>688</v>
      </c>
      <c r="AI40" s="127" t="s">
        <v>701</v>
      </c>
      <c r="AJ40" s="127" t="s">
        <v>702</v>
      </c>
      <c r="AK40" s="127" t="s">
        <v>703</v>
      </c>
      <c r="AL40" s="127" t="s">
        <v>704</v>
      </c>
      <c r="AM40" s="127" t="s">
        <v>705</v>
      </c>
      <c r="AN40" s="127" t="s">
        <v>706</v>
      </c>
      <c r="AO40" s="32"/>
      <c r="AP40" s="115"/>
      <c r="AW40" s="166" t="s">
        <v>694</v>
      </c>
      <c r="AX40" s="125">
        <v>2.1917885553250027E-2</v>
      </c>
      <c r="AY40" s="125">
        <v>3.4878788238306334E-2</v>
      </c>
      <c r="AZ40" s="125">
        <v>0.62840157758629545</v>
      </c>
      <c r="BA40" s="125">
        <v>0.5496866412540824</v>
      </c>
      <c r="BB40" s="125">
        <v>-6.0557342981218315E-2</v>
      </c>
      <c r="BC40" s="125">
        <v>0.10439311408771837</v>
      </c>
      <c r="BD40" s="125">
        <v>-0.10013985131852787</v>
      </c>
      <c r="BE40" s="192">
        <v>0.14397562242502793</v>
      </c>
      <c r="BF40" s="125" t="s">
        <v>694</v>
      </c>
      <c r="BG40" s="125">
        <v>8.2710934672265909E-2</v>
      </c>
      <c r="BH40" s="125">
        <v>2.3607886998433927E-2</v>
      </c>
      <c r="BI40" s="125">
        <v>3.5035297601074036</v>
      </c>
      <c r="BJ40" s="125">
        <v>9.9456405700303636E-3</v>
      </c>
      <c r="BK40" s="125">
        <v>2.6887152546907045E-2</v>
      </c>
      <c r="BL40" s="125">
        <v>0.13853471679762477</v>
      </c>
      <c r="BM40" s="125">
        <v>9.5528435508474008E-5</v>
      </c>
      <c r="BN40" s="125">
        <v>0.16532634090902334</v>
      </c>
      <c r="BU40" s="166" t="s">
        <v>49</v>
      </c>
      <c r="BV40" s="125">
        <v>-1.4930331504011804E-3</v>
      </c>
      <c r="BW40" s="125">
        <v>1.4734342114709686E-3</v>
      </c>
      <c r="BX40" s="125">
        <v>-1.0133015364904863</v>
      </c>
      <c r="BY40" s="177">
        <v>0.35002084278258788</v>
      </c>
      <c r="BZ40" s="125">
        <v>-5.0983967843319369E-3</v>
      </c>
      <c r="CA40" s="125">
        <v>2.1123304835295757E-3</v>
      </c>
      <c r="CB40" s="125">
        <v>-6.9556844335872305E-3</v>
      </c>
      <c r="CC40" s="192">
        <v>3.9696181327848693E-3</v>
      </c>
      <c r="CD40" s="167" t="s">
        <v>718</v>
      </c>
      <c r="CE40" s="126">
        <v>-2.9316666666666658E-2</v>
      </c>
      <c r="CF40" s="126">
        <v>1.5450688329044431E-2</v>
      </c>
      <c r="CG40" s="126">
        <v>-1.8974343435273855</v>
      </c>
      <c r="CH40" s="175">
        <v>9.958099979571966E-2</v>
      </c>
      <c r="CI40" s="126">
        <v>-6.5851738993326719E-2</v>
      </c>
      <c r="CJ40" s="126">
        <v>7.2184056599934043E-3</v>
      </c>
      <c r="CK40" s="126">
        <v>-8.338609240672587E-2</v>
      </c>
      <c r="CL40" s="126">
        <v>2.4752759073392555E-2</v>
      </c>
      <c r="CM40" s="32"/>
      <c r="CN40" s="115"/>
    </row>
    <row r="41" spans="1:92" ht="15.75" thickBot="1" x14ac:dyDescent="0.3">
      <c r="A41">
        <v>2016</v>
      </c>
      <c r="B41">
        <v>31.353000000000002</v>
      </c>
      <c r="C41">
        <v>48.617000000000004</v>
      </c>
      <c r="D41">
        <v>16.399000000000001</v>
      </c>
      <c r="E41">
        <v>48.617000000000004</v>
      </c>
      <c r="F41">
        <v>7.45</v>
      </c>
      <c r="G41">
        <v>2.6989999999999998</v>
      </c>
      <c r="H41">
        <v>3.4260000000000002</v>
      </c>
      <c r="I41">
        <v>0.61</v>
      </c>
      <c r="J41">
        <v>0.73499999999999999</v>
      </c>
      <c r="K41">
        <v>-5.26</v>
      </c>
      <c r="L41">
        <v>0.192</v>
      </c>
      <c r="M41">
        <v>0</v>
      </c>
      <c r="N41">
        <v>0</v>
      </c>
      <c r="O41">
        <v>0</v>
      </c>
      <c r="W41" s="166" t="s">
        <v>694</v>
      </c>
      <c r="X41" s="125">
        <v>-2.2607911702358359</v>
      </c>
      <c r="Y41" s="125">
        <v>0.5072360880199287</v>
      </c>
      <c r="Z41" s="125">
        <v>-4.4570787127177196</v>
      </c>
      <c r="AA41" s="125">
        <v>2.9464012151141942E-3</v>
      </c>
      <c r="AB41" s="125">
        <v>-3.4602139252508115</v>
      </c>
      <c r="AC41" s="125">
        <v>-1.06136841522086</v>
      </c>
      <c r="AD41" s="125">
        <v>-4.0358553880749817</v>
      </c>
      <c r="AE41" s="192">
        <v>-0.48572695239669006</v>
      </c>
      <c r="AF41" s="166" t="s">
        <v>694</v>
      </c>
      <c r="AG41" s="125">
        <v>-1.2514397904004451</v>
      </c>
      <c r="AH41" s="125">
        <v>0.70870919702722623</v>
      </c>
      <c r="AI41" s="125">
        <v>-1.7658015384162835</v>
      </c>
      <c r="AJ41" s="177">
        <v>0.12077478640500436</v>
      </c>
      <c r="AK41" s="125">
        <v>-2.9272707450178732</v>
      </c>
      <c r="AL41" s="125">
        <v>0.42439116421698331</v>
      </c>
      <c r="AM41" s="125">
        <v>-3.7315557880759043</v>
      </c>
      <c r="AN41" s="125">
        <v>1.2286762072750141</v>
      </c>
      <c r="AO41" s="32"/>
      <c r="AP41" s="115"/>
      <c r="AW41" s="167" t="s">
        <v>733</v>
      </c>
      <c r="AX41" s="126">
        <v>-2.9857899960747017E-2</v>
      </c>
      <c r="AY41" s="126">
        <v>1.3815961531590343E-2</v>
      </c>
      <c r="AZ41" s="126">
        <v>-2.1611163213270834</v>
      </c>
      <c r="BA41" s="126">
        <v>6.7496590249532445E-2</v>
      </c>
      <c r="BB41" s="126">
        <v>-6.2527457657418545E-2</v>
      </c>
      <c r="BC41" s="126">
        <v>2.811657735924504E-3</v>
      </c>
      <c r="BD41" s="126">
        <v>-7.8206626577384378E-2</v>
      </c>
      <c r="BE41" s="193">
        <v>1.8490826655890344E-2</v>
      </c>
      <c r="BF41" s="126" t="s">
        <v>307</v>
      </c>
      <c r="BG41" s="126">
        <v>1.1886557175895859E-3</v>
      </c>
      <c r="BH41" s="126">
        <v>2.2899512600965872E-3</v>
      </c>
      <c r="BI41" s="126">
        <v>0.51907468001718515</v>
      </c>
      <c r="BJ41" s="175">
        <v>0.6197110951088749</v>
      </c>
      <c r="BK41" s="126">
        <v>-4.2262185670002613E-3</v>
      </c>
      <c r="BL41" s="126">
        <v>6.6035300021794335E-3</v>
      </c>
      <c r="BM41" s="126">
        <v>-6.8249904688651381E-3</v>
      </c>
      <c r="BN41" s="126">
        <v>9.2023019040443094E-3</v>
      </c>
      <c r="BU41" s="167" t="s">
        <v>778</v>
      </c>
      <c r="BV41" s="126">
        <v>-3.2439164896912553E-3</v>
      </c>
      <c r="BW41" s="126">
        <v>2.9314301285856105E-3</v>
      </c>
      <c r="BX41" s="126">
        <v>-1.1065986045713518</v>
      </c>
      <c r="BY41" s="175">
        <v>0.31085007335123838</v>
      </c>
      <c r="BZ41" s="126">
        <v>-1.0416867612130808E-2</v>
      </c>
      <c r="CA41" s="126">
        <v>3.9290346327482979E-3</v>
      </c>
      <c r="CB41" s="126">
        <v>-1.4111982690965249E-2</v>
      </c>
      <c r="CC41" s="193">
        <v>7.6241497115827374E-3</v>
      </c>
      <c r="CD41" s="116"/>
      <c r="CE41" s="169"/>
      <c r="CF41" s="169"/>
      <c r="CG41" s="169"/>
      <c r="CH41" s="169"/>
      <c r="CI41" s="169"/>
      <c r="CJ41" s="169"/>
      <c r="CK41" s="169"/>
      <c r="CL41" s="169"/>
      <c r="CM41" s="169"/>
      <c r="CN41" s="170"/>
    </row>
    <row r="42" spans="1:92" ht="15.75" thickBot="1" x14ac:dyDescent="0.3">
      <c r="A42">
        <v>2017</v>
      </c>
      <c r="B42">
        <v>23.646000000000001</v>
      </c>
      <c r="C42">
        <v>34.120000000000005</v>
      </c>
      <c r="D42">
        <v>12.666</v>
      </c>
      <c r="E42">
        <v>34.120000000000005</v>
      </c>
      <c r="F42">
        <v>48.617000000000004</v>
      </c>
      <c r="G42">
        <v>1.972</v>
      </c>
      <c r="H42">
        <v>2.6989999999999998</v>
      </c>
      <c r="I42">
        <v>0.73499999999999999</v>
      </c>
      <c r="J42">
        <v>0.73299999999999998</v>
      </c>
      <c r="K42">
        <v>-2.4289999999999998</v>
      </c>
      <c r="L42">
        <v>0.157</v>
      </c>
      <c r="M42">
        <v>-5.26</v>
      </c>
      <c r="N42">
        <v>0.192</v>
      </c>
      <c r="O42">
        <v>0.151</v>
      </c>
      <c r="W42" s="167" t="s">
        <v>307</v>
      </c>
      <c r="X42" s="126">
        <v>1.2905863104017347E-2</v>
      </c>
      <c r="Y42" s="126">
        <v>4.9201604489412902E-2</v>
      </c>
      <c r="Z42" s="126">
        <v>0.26230573652927119</v>
      </c>
      <c r="AA42" s="175">
        <v>0.80063752900447449</v>
      </c>
      <c r="AB42" s="126">
        <v>-0.10343744408892483</v>
      </c>
      <c r="AC42" s="126">
        <v>0.12924917029695954</v>
      </c>
      <c r="AD42" s="126">
        <v>-0.15927433000952823</v>
      </c>
      <c r="AE42" s="193">
        <v>0.18508605621756291</v>
      </c>
      <c r="AF42" s="167" t="s">
        <v>773</v>
      </c>
      <c r="AG42" s="126">
        <v>-2.4269686031070918</v>
      </c>
      <c r="AH42" s="126">
        <v>1.4953782311450758</v>
      </c>
      <c r="AI42" s="126">
        <v>-1.6229797602768745</v>
      </c>
      <c r="AJ42" s="175">
        <v>0.14862319827391915</v>
      </c>
      <c r="AK42" s="126">
        <v>-5.9629762337766596</v>
      </c>
      <c r="AL42" s="126">
        <v>1.1090390275624755</v>
      </c>
      <c r="AM42" s="126">
        <v>-7.6600197462208115</v>
      </c>
      <c r="AN42" s="126">
        <v>2.8060825400066278</v>
      </c>
      <c r="AO42" s="169"/>
      <c r="AP42" s="170"/>
      <c r="BU42" s="171" t="s">
        <v>797</v>
      </c>
      <c r="BV42" s="163"/>
      <c r="BW42" s="163"/>
      <c r="BX42" s="163"/>
      <c r="BY42" s="163"/>
      <c r="BZ42" s="163"/>
      <c r="CA42" s="163"/>
      <c r="CB42" s="163"/>
      <c r="CC42" s="113"/>
      <c r="CD42" s="171" t="s">
        <v>798</v>
      </c>
      <c r="CE42" s="163"/>
      <c r="CF42" s="163"/>
      <c r="CG42" s="163"/>
      <c r="CH42" s="163"/>
      <c r="CI42" s="163"/>
      <c r="CJ42" s="163"/>
      <c r="CK42" s="163"/>
      <c r="CL42" s="163"/>
      <c r="CM42" s="163"/>
      <c r="CN42" s="113"/>
    </row>
    <row r="43" spans="1:92" x14ac:dyDescent="0.25">
      <c r="A43">
        <v>2018</v>
      </c>
      <c r="B43">
        <v>33.683999999999997</v>
      </c>
      <c r="C43">
        <v>173.06299999999999</v>
      </c>
      <c r="D43">
        <v>22.902999999999999</v>
      </c>
      <c r="E43">
        <v>173.06299999999999</v>
      </c>
      <c r="F43">
        <v>34.120000000000005</v>
      </c>
      <c r="G43">
        <v>1.2450000000000001</v>
      </c>
      <c r="H43">
        <v>1.972</v>
      </c>
      <c r="I43">
        <v>0.73299999999999998</v>
      </c>
      <c r="J43">
        <v>0.73099999999999998</v>
      </c>
      <c r="K43">
        <v>-1.4910000000000001</v>
      </c>
      <c r="L43">
        <v>0.121</v>
      </c>
      <c r="M43">
        <v>-2.4289999999999998</v>
      </c>
      <c r="N43">
        <v>0.157</v>
      </c>
      <c r="O43">
        <v>8.8999999999999996E-2</v>
      </c>
      <c r="W43" s="171" t="s">
        <v>742</v>
      </c>
      <c r="X43" s="163"/>
      <c r="Y43" s="163"/>
      <c r="Z43" s="163"/>
      <c r="AA43" s="163"/>
      <c r="AB43" s="163"/>
      <c r="AC43" s="163"/>
      <c r="AD43" s="163"/>
      <c r="AE43" s="113"/>
      <c r="AF43" s="171" t="s">
        <v>743</v>
      </c>
      <c r="AG43" s="163"/>
      <c r="AH43" s="163"/>
      <c r="AI43" s="163"/>
      <c r="AJ43" s="163"/>
      <c r="AK43" s="163"/>
      <c r="AL43" s="163"/>
      <c r="AM43" s="163"/>
      <c r="AN43" s="163"/>
      <c r="AO43" s="163"/>
      <c r="AP43" s="113"/>
      <c r="BU43" s="114" t="s">
        <v>740</v>
      </c>
      <c r="BV43" s="32"/>
      <c r="BW43" s="32"/>
      <c r="BX43" s="32"/>
      <c r="BY43" s="32"/>
      <c r="BZ43" s="32"/>
      <c r="CA43" s="32"/>
      <c r="CB43" s="32"/>
      <c r="CC43" s="115"/>
      <c r="CD43" s="114" t="s">
        <v>740</v>
      </c>
      <c r="CE43" s="32"/>
      <c r="CF43" s="32"/>
      <c r="CG43" s="32"/>
      <c r="CH43" s="32"/>
      <c r="CI43" s="32"/>
      <c r="CJ43" s="32"/>
      <c r="CK43" s="32"/>
      <c r="CL43" s="32"/>
      <c r="CM43" s="32"/>
      <c r="CN43" s="115"/>
    </row>
    <row r="44" spans="1:92" ht="15.75" thickBot="1" x14ac:dyDescent="0.3">
      <c r="A44">
        <v>2019</v>
      </c>
      <c r="B44">
        <v>38.621000000000002</v>
      </c>
      <c r="C44">
        <v>170.25400000000002</v>
      </c>
      <c r="D44">
        <v>24.960999999999999</v>
      </c>
      <c r="E44">
        <v>170.25400000000002</v>
      </c>
      <c r="F44">
        <v>173.06299999999999</v>
      </c>
      <c r="G44">
        <v>0.73699999999999999</v>
      </c>
      <c r="H44">
        <v>1.2450000000000001</v>
      </c>
      <c r="I44">
        <v>0.73099999999999998</v>
      </c>
      <c r="J44">
        <v>0.51100000000000001</v>
      </c>
      <c r="K44">
        <v>-2.3490000000000002</v>
      </c>
      <c r="L44">
        <v>8.5999999999999993E-2</v>
      </c>
      <c r="M44">
        <v>-1.4910000000000001</v>
      </c>
      <c r="N44">
        <v>0.121</v>
      </c>
      <c r="O44">
        <v>-4.3999999999999997E-2</v>
      </c>
      <c r="W44" s="114" t="s">
        <v>740</v>
      </c>
      <c r="X44" s="32"/>
      <c r="Y44" s="32"/>
      <c r="Z44" s="32"/>
      <c r="AA44" s="32"/>
      <c r="AB44" s="32"/>
      <c r="AC44" s="32"/>
      <c r="AD44" s="32"/>
      <c r="AE44" s="115"/>
      <c r="AF44" s="114" t="s">
        <v>740</v>
      </c>
      <c r="AG44" s="32"/>
      <c r="AH44" s="32"/>
      <c r="AI44" s="32"/>
      <c r="AJ44" s="32"/>
      <c r="AK44" s="32"/>
      <c r="AL44" s="32"/>
      <c r="AM44" s="32"/>
      <c r="AN44" s="32"/>
      <c r="AO44" s="32"/>
      <c r="AP44" s="115"/>
      <c r="BU44" s="114"/>
      <c r="BV44" s="32"/>
      <c r="BW44" s="32"/>
      <c r="BX44" s="32"/>
      <c r="BY44" s="32"/>
      <c r="BZ44" s="32"/>
      <c r="CA44" s="32"/>
      <c r="CB44" s="32"/>
      <c r="CC44" s="115"/>
      <c r="CD44" s="114"/>
      <c r="CE44" s="32"/>
      <c r="CF44" s="32"/>
      <c r="CG44" s="32"/>
      <c r="CH44" s="32"/>
      <c r="CI44" s="32"/>
      <c r="CJ44" s="32"/>
      <c r="CK44" s="32"/>
      <c r="CL44" s="32"/>
      <c r="CM44" s="32"/>
      <c r="CN44" s="115"/>
    </row>
    <row r="45" spans="1:92" ht="15.75" thickBot="1" x14ac:dyDescent="0.3">
      <c r="A45">
        <v>2020</v>
      </c>
      <c r="B45">
        <v>35.93</v>
      </c>
      <c r="C45">
        <v>169.81299999999999</v>
      </c>
      <c r="D45">
        <v>19.170999999999999</v>
      </c>
      <c r="E45">
        <v>169.81299999999999</v>
      </c>
      <c r="F45">
        <v>170.25400000000002</v>
      </c>
      <c r="G45">
        <v>0.53600000000000003</v>
      </c>
      <c r="H45">
        <v>0.73699999999999999</v>
      </c>
      <c r="I45">
        <v>0.51100000000000001</v>
      </c>
      <c r="J45">
        <v>0.20300000000000001</v>
      </c>
      <c r="K45">
        <v>-1.403</v>
      </c>
      <c r="L45">
        <v>5.2999999999999999E-2</v>
      </c>
      <c r="M45">
        <v>-2.3490000000000002</v>
      </c>
      <c r="N45">
        <v>8.5999999999999993E-2</v>
      </c>
      <c r="O45">
        <v>0.13900000000000001</v>
      </c>
      <c r="W45" s="114"/>
      <c r="X45" s="32"/>
      <c r="Y45" s="32"/>
      <c r="Z45" s="32"/>
      <c r="AA45" s="32"/>
      <c r="AB45" s="32"/>
      <c r="AC45" s="32"/>
      <c r="AD45" s="32"/>
      <c r="AE45" s="115"/>
      <c r="AF45" s="114"/>
      <c r="AG45" s="32"/>
      <c r="AH45" s="32"/>
      <c r="AI45" s="32"/>
      <c r="AJ45" s="32"/>
      <c r="AK45" s="32"/>
      <c r="AL45" s="32"/>
      <c r="AM45" s="32"/>
      <c r="AN45" s="32"/>
      <c r="AO45" s="32"/>
      <c r="AP45" s="115"/>
      <c r="BU45" s="165" t="s">
        <v>684</v>
      </c>
      <c r="BV45" s="128"/>
      <c r="BW45" s="32"/>
      <c r="BX45" s="32"/>
      <c r="BY45" s="32"/>
      <c r="BZ45" s="32"/>
      <c r="CA45" s="32"/>
      <c r="CB45" s="32"/>
      <c r="CC45" s="115"/>
      <c r="CD45" s="165" t="s">
        <v>684</v>
      </c>
      <c r="CE45" s="128"/>
      <c r="CF45" s="32"/>
      <c r="CG45" s="32"/>
      <c r="CH45" s="32"/>
      <c r="CI45" s="32"/>
      <c r="CJ45" s="32"/>
      <c r="CK45" s="32"/>
      <c r="CL45" s="32"/>
      <c r="CM45" s="32"/>
      <c r="CN45" s="115"/>
    </row>
    <row r="46" spans="1:92" x14ac:dyDescent="0.25">
      <c r="A46">
        <v>2021</v>
      </c>
      <c r="B46">
        <v>120.319</v>
      </c>
      <c r="C46">
        <v>248.14099999999999</v>
      </c>
      <c r="D46">
        <v>103.23</v>
      </c>
      <c r="E46">
        <v>248.14099999999999</v>
      </c>
      <c r="F46">
        <v>169.81299999999999</v>
      </c>
      <c r="G46">
        <v>0.33500000000000002</v>
      </c>
      <c r="H46">
        <v>0.53600000000000003</v>
      </c>
      <c r="I46">
        <v>0.20300000000000001</v>
      </c>
      <c r="J46">
        <v>0.20200000000000001</v>
      </c>
      <c r="K46">
        <v>-0.93799999999999994</v>
      </c>
      <c r="L46">
        <v>3.6999999999999998E-2</v>
      </c>
      <c r="M46">
        <v>-1.403</v>
      </c>
      <c r="N46">
        <v>5.2999999999999999E-2</v>
      </c>
      <c r="O46">
        <v>4.0000000000000001E-3</v>
      </c>
      <c r="W46" s="168" t="s">
        <v>684</v>
      </c>
      <c r="X46" s="127"/>
      <c r="Y46" s="32"/>
      <c r="Z46" s="32"/>
      <c r="AA46" s="32"/>
      <c r="AB46" s="32"/>
      <c r="AC46" s="32"/>
      <c r="AD46" s="32"/>
      <c r="AE46" s="115"/>
      <c r="AF46" s="168" t="s">
        <v>684</v>
      </c>
      <c r="AG46" s="127"/>
      <c r="AH46" s="32"/>
      <c r="AI46" s="32"/>
      <c r="AJ46" s="32"/>
      <c r="AK46" s="32"/>
      <c r="AL46" s="32"/>
      <c r="AM46" s="32"/>
      <c r="AN46" s="32"/>
      <c r="AO46" s="32"/>
      <c r="AP46" s="115"/>
      <c r="BU46" s="166" t="s">
        <v>685</v>
      </c>
      <c r="BV46" s="125">
        <v>0.66033801833898742</v>
      </c>
      <c r="BW46" s="32"/>
      <c r="BX46" s="32"/>
      <c r="BY46" s="32"/>
      <c r="BZ46" s="32"/>
      <c r="CA46" s="32"/>
      <c r="CB46" s="32"/>
      <c r="CC46" s="115"/>
      <c r="CD46" s="166" t="s">
        <v>685</v>
      </c>
      <c r="CE46" s="125">
        <v>0.57614274849539149</v>
      </c>
      <c r="CF46" s="32"/>
      <c r="CG46" s="32"/>
      <c r="CH46" s="32"/>
      <c r="CI46" s="32"/>
      <c r="CJ46" s="32"/>
      <c r="CK46" s="32"/>
      <c r="CL46" s="32"/>
      <c r="CM46" s="32"/>
      <c r="CN46" s="115"/>
    </row>
    <row r="47" spans="1:92" x14ac:dyDescent="0.25">
      <c r="A47">
        <v>2022</v>
      </c>
      <c r="B47">
        <v>72.058000000000007</v>
      </c>
      <c r="C47">
        <v>259.02600000000001</v>
      </c>
      <c r="D47">
        <v>38.323</v>
      </c>
      <c r="E47">
        <v>259.02600000000001</v>
      </c>
      <c r="F47">
        <v>248.14099999999999</v>
      </c>
      <c r="G47">
        <v>0.13400000000000001</v>
      </c>
      <c r="H47">
        <v>0.33500000000000002</v>
      </c>
      <c r="I47">
        <v>0.20200000000000001</v>
      </c>
      <c r="J47">
        <v>0.20200000000000001</v>
      </c>
      <c r="K47">
        <v>-2.9079999999999999</v>
      </c>
      <c r="L47">
        <v>2.5000000000000001E-2</v>
      </c>
      <c r="M47">
        <v>-0.93799999999999994</v>
      </c>
      <c r="N47">
        <v>3.6999999999999998E-2</v>
      </c>
      <c r="O47">
        <v>8.4000000000000005E-2</v>
      </c>
      <c r="W47" s="166" t="s">
        <v>685</v>
      </c>
      <c r="X47" s="125">
        <v>0.56500773939519655</v>
      </c>
      <c r="Y47" s="32"/>
      <c r="Z47" s="32"/>
      <c r="AA47" s="32"/>
      <c r="AB47" s="32"/>
      <c r="AC47" s="32"/>
      <c r="AD47" s="32"/>
      <c r="AE47" s="115"/>
      <c r="AF47" s="166" t="s">
        <v>685</v>
      </c>
      <c r="AG47" s="125">
        <v>0.56220076717523915</v>
      </c>
      <c r="AH47" s="32"/>
      <c r="AI47" s="32"/>
      <c r="AJ47" s="32"/>
      <c r="AK47" s="32"/>
      <c r="AL47" s="32"/>
      <c r="AM47" s="32"/>
      <c r="AN47" s="32"/>
      <c r="AO47" s="32"/>
      <c r="AP47" s="115"/>
      <c r="BU47" s="166" t="s">
        <v>686</v>
      </c>
      <c r="BV47" s="125">
        <v>0.43604629846386089</v>
      </c>
      <c r="BW47" s="32"/>
      <c r="BX47" s="32"/>
      <c r="BY47" s="32"/>
      <c r="BZ47" s="32"/>
      <c r="CA47" s="32"/>
      <c r="CB47" s="32"/>
      <c r="CC47" s="115"/>
      <c r="CD47" s="166" t="s">
        <v>686</v>
      </c>
      <c r="CE47" s="125">
        <v>0.33194046664382387</v>
      </c>
      <c r="CF47" s="32"/>
      <c r="CG47" s="32"/>
      <c r="CH47" s="32"/>
      <c r="CI47" s="32"/>
      <c r="CJ47" s="32"/>
      <c r="CK47" s="32"/>
      <c r="CL47" s="32"/>
      <c r="CM47" s="32"/>
      <c r="CN47" s="115"/>
    </row>
    <row r="48" spans="1:92" x14ac:dyDescent="0.25">
      <c r="A48">
        <v>2023</v>
      </c>
      <c r="B48">
        <v>67.307000000000002</v>
      </c>
      <c r="C48">
        <v>270.26400000000001</v>
      </c>
      <c r="D48">
        <v>30.123000000000001</v>
      </c>
      <c r="E48">
        <v>270.26400000000001</v>
      </c>
      <c r="F48">
        <v>259.02600000000001</v>
      </c>
      <c r="G48">
        <v>0</v>
      </c>
      <c r="H48">
        <v>0.13400000000000001</v>
      </c>
      <c r="I48">
        <v>0.20200000000000001</v>
      </c>
      <c r="J48">
        <v>0.13400000000000001</v>
      </c>
      <c r="K48">
        <v>-1.4339999999999999</v>
      </c>
      <c r="L48">
        <v>1.4E-2</v>
      </c>
      <c r="M48">
        <v>-2.9079999999999999</v>
      </c>
      <c r="N48">
        <v>2.5000000000000001E-2</v>
      </c>
      <c r="O48">
        <v>-0.27600000000000002</v>
      </c>
      <c r="W48" s="166" t="s">
        <v>686</v>
      </c>
      <c r="X48" s="125">
        <v>0.31923374557647038</v>
      </c>
      <c r="Y48" s="32"/>
      <c r="Z48" s="32"/>
      <c r="AA48" s="32"/>
      <c r="AB48" s="32"/>
      <c r="AC48" s="32"/>
      <c r="AD48" s="32"/>
      <c r="AE48" s="115"/>
      <c r="AF48" s="166" t="s">
        <v>686</v>
      </c>
      <c r="AG48" s="125">
        <v>0.31606970261242745</v>
      </c>
      <c r="AH48" s="32"/>
      <c r="AI48" s="32"/>
      <c r="AJ48" s="32"/>
      <c r="AK48" s="32"/>
      <c r="AL48" s="32"/>
      <c r="AM48" s="32"/>
      <c r="AN48" s="32"/>
      <c r="AO48" s="32"/>
      <c r="AP48" s="115"/>
      <c r="BU48" s="166" t="s">
        <v>687</v>
      </c>
      <c r="BV48" s="125">
        <v>0.24806173128514786</v>
      </c>
      <c r="BW48" s="32"/>
      <c r="BX48" s="32"/>
      <c r="BY48" s="32"/>
      <c r="BZ48" s="32"/>
      <c r="CA48" s="32"/>
      <c r="CB48" s="32"/>
      <c r="CC48" s="115"/>
      <c r="CD48" s="166" t="s">
        <v>687</v>
      </c>
      <c r="CE48" s="125">
        <v>0.23650339045008442</v>
      </c>
      <c r="CF48" s="32"/>
      <c r="CG48" s="32"/>
      <c r="CH48" s="32"/>
      <c r="CI48" s="32"/>
      <c r="CJ48" s="32"/>
      <c r="CK48" s="32"/>
      <c r="CL48" s="32"/>
      <c r="CM48" s="32"/>
      <c r="CN48" s="115"/>
    </row>
    <row r="49" spans="1:92" x14ac:dyDescent="0.25">
      <c r="A49">
        <v>2024</v>
      </c>
      <c r="B49">
        <v>85.998999999999995</v>
      </c>
      <c r="C49">
        <v>317.53100000000001</v>
      </c>
      <c r="D49">
        <v>43.628</v>
      </c>
      <c r="E49">
        <v>317.53100000000001</v>
      </c>
      <c r="F49">
        <v>270.26400000000001</v>
      </c>
      <c r="G49">
        <v>30.706</v>
      </c>
      <c r="H49">
        <v>0</v>
      </c>
      <c r="I49">
        <v>0.13400000000000001</v>
      </c>
      <c r="J49">
        <v>8.7999999999999995E-2</v>
      </c>
      <c r="K49">
        <v>-1.64</v>
      </c>
      <c r="L49">
        <v>0.105</v>
      </c>
      <c r="M49">
        <v>-1.4339999999999999</v>
      </c>
      <c r="N49">
        <v>1.4E-2</v>
      </c>
      <c r="O49">
        <v>-0.129</v>
      </c>
      <c r="W49" s="209" t="s">
        <v>687</v>
      </c>
      <c r="X49" s="177">
        <v>9.231166076862718E-2</v>
      </c>
      <c r="Y49" s="32"/>
      <c r="Z49" s="32"/>
      <c r="AA49" s="32"/>
      <c r="AB49" s="32"/>
      <c r="AC49" s="32"/>
      <c r="AD49" s="32"/>
      <c r="AE49" s="115"/>
      <c r="AF49" s="209" t="s">
        <v>687</v>
      </c>
      <c r="AG49" s="177">
        <v>0.21836537441420281</v>
      </c>
      <c r="AH49" s="32"/>
      <c r="AI49" s="32"/>
      <c r="AJ49" s="32"/>
      <c r="AK49" s="32"/>
      <c r="AL49" s="32"/>
      <c r="AM49" s="32"/>
      <c r="AN49" s="32"/>
      <c r="AO49" s="32"/>
      <c r="AP49" s="115"/>
      <c r="BU49" s="166" t="s">
        <v>688</v>
      </c>
      <c r="BV49" s="125">
        <v>0.11946144316028993</v>
      </c>
      <c r="BW49" s="32"/>
      <c r="BX49" s="32"/>
      <c r="BY49" s="32"/>
      <c r="BZ49" s="32"/>
      <c r="CA49" s="32"/>
      <c r="CB49" s="32"/>
      <c r="CC49" s="115"/>
      <c r="CD49" s="166" t="s">
        <v>688</v>
      </c>
      <c r="CE49" s="125">
        <v>0.12037608629893171</v>
      </c>
      <c r="CF49" s="32"/>
      <c r="CG49" s="32"/>
      <c r="CH49" s="32"/>
      <c r="CI49" s="32"/>
      <c r="CJ49" s="32"/>
      <c r="CK49" s="32"/>
      <c r="CL49" s="32"/>
      <c r="CM49" s="32"/>
      <c r="CN49" s="115"/>
    </row>
    <row r="50" spans="1:92" ht="15.75" thickBot="1" x14ac:dyDescent="0.3">
      <c r="W50" s="166" t="s">
        <v>688</v>
      </c>
      <c r="X50" s="125">
        <v>1.24083729282052</v>
      </c>
      <c r="Y50" s="32"/>
      <c r="Z50" s="32"/>
      <c r="AA50" s="32"/>
      <c r="AB50" s="32"/>
      <c r="AC50" s="32"/>
      <c r="AD50" s="32"/>
      <c r="AE50" s="115"/>
      <c r="AF50" s="166" t="s">
        <v>688</v>
      </c>
      <c r="AG50" s="125">
        <v>1.1514586704876861</v>
      </c>
      <c r="AH50" s="32"/>
      <c r="AI50" s="32"/>
      <c r="AJ50" s="32"/>
      <c r="AK50" s="32"/>
      <c r="AL50" s="32"/>
      <c r="AM50" s="32"/>
      <c r="AN50" s="32"/>
      <c r="AO50" s="32"/>
      <c r="AP50" s="115"/>
      <c r="BU50" s="167" t="s">
        <v>689</v>
      </c>
      <c r="BV50" s="126">
        <v>9</v>
      </c>
      <c r="BW50" s="32"/>
      <c r="BX50" s="32"/>
      <c r="BY50" s="32"/>
      <c r="BZ50" s="32"/>
      <c r="CA50" s="32"/>
      <c r="CB50" s="32"/>
      <c r="CC50" s="115"/>
      <c r="CD50" s="167" t="s">
        <v>689</v>
      </c>
      <c r="CE50" s="126">
        <v>9</v>
      </c>
      <c r="CF50" s="32"/>
      <c r="CG50" s="32"/>
      <c r="CH50" s="32"/>
      <c r="CI50" s="32"/>
      <c r="CJ50" s="32"/>
      <c r="CK50" s="32"/>
      <c r="CL50" s="32"/>
      <c r="CM50" s="32"/>
      <c r="CN50" s="115"/>
    </row>
    <row r="51" spans="1:92" ht="15.75" thickBot="1" x14ac:dyDescent="0.3">
      <c r="W51" s="167" t="s">
        <v>689</v>
      </c>
      <c r="X51" s="126">
        <v>9</v>
      </c>
      <c r="Y51" s="32"/>
      <c r="Z51" s="32"/>
      <c r="AA51" s="32"/>
      <c r="AB51" s="32"/>
      <c r="AC51" s="32"/>
      <c r="AD51" s="32"/>
      <c r="AE51" s="115"/>
      <c r="AF51" s="167" t="s">
        <v>689</v>
      </c>
      <c r="AG51" s="126">
        <v>9</v>
      </c>
      <c r="AH51" s="32"/>
      <c r="AI51" s="32"/>
      <c r="AJ51" s="32"/>
      <c r="AK51" s="32"/>
      <c r="AL51" s="32"/>
      <c r="AM51" s="32"/>
      <c r="AN51" s="32"/>
      <c r="AO51" s="32"/>
      <c r="AP51" s="115"/>
      <c r="BU51" s="114"/>
      <c r="BV51" s="32"/>
      <c r="BW51" s="32"/>
      <c r="BX51" s="32"/>
      <c r="BY51" s="32"/>
      <c r="BZ51" s="32"/>
      <c r="CA51" s="32"/>
      <c r="CB51" s="32"/>
      <c r="CC51" s="115"/>
      <c r="CD51" s="114"/>
      <c r="CE51" s="32"/>
      <c r="CF51" s="32"/>
      <c r="CG51" s="32"/>
      <c r="CH51" s="32"/>
      <c r="CI51" s="32"/>
      <c r="CJ51" s="32"/>
      <c r="CK51" s="32"/>
      <c r="CL51" s="32"/>
      <c r="CM51" s="32"/>
      <c r="CN51" s="115"/>
    </row>
    <row r="52" spans="1:92" ht="15.75" thickBot="1" x14ac:dyDescent="0.3">
      <c r="W52" s="114"/>
      <c r="X52" s="32"/>
      <c r="Y52" s="32"/>
      <c r="Z52" s="32"/>
      <c r="AA52" s="32"/>
      <c r="AB52" s="32"/>
      <c r="AC52" s="32"/>
      <c r="AD52" s="32"/>
      <c r="AE52" s="115"/>
      <c r="AF52" s="114"/>
      <c r="AG52" s="32"/>
      <c r="AH52" s="32"/>
      <c r="AI52" s="32"/>
      <c r="AJ52" s="32"/>
      <c r="AK52" s="32"/>
      <c r="AL52" s="32"/>
      <c r="AM52" s="32"/>
      <c r="AN52" s="32"/>
      <c r="AO52" s="32"/>
      <c r="AP52" s="115"/>
      <c r="BU52" s="114" t="s">
        <v>690</v>
      </c>
      <c r="BV52" s="32"/>
      <c r="BW52" s="32"/>
      <c r="BX52" s="32"/>
      <c r="BY52" s="32"/>
      <c r="BZ52" s="32"/>
      <c r="CA52" s="32"/>
      <c r="CB52" s="32"/>
      <c r="CC52" s="115"/>
      <c r="CD52" s="114" t="s">
        <v>690</v>
      </c>
      <c r="CE52" s="32"/>
      <c r="CF52" s="32"/>
      <c r="CG52" s="32"/>
      <c r="CH52" s="32"/>
      <c r="CI52" s="32"/>
      <c r="CJ52" s="32"/>
      <c r="CK52" s="32"/>
      <c r="CL52" s="32"/>
      <c r="CM52" s="32"/>
      <c r="CN52" s="115"/>
    </row>
    <row r="53" spans="1:92" ht="15.75" thickBot="1" x14ac:dyDescent="0.3">
      <c r="W53" s="114" t="s">
        <v>690</v>
      </c>
      <c r="X53" s="32"/>
      <c r="Y53" s="32"/>
      <c r="Z53" s="32"/>
      <c r="AA53" s="32"/>
      <c r="AB53" s="32"/>
      <c r="AC53" s="32"/>
      <c r="AD53" s="32"/>
      <c r="AE53" s="115"/>
      <c r="AF53" s="114" t="s">
        <v>690</v>
      </c>
      <c r="AG53" s="32"/>
      <c r="AH53" s="32"/>
      <c r="AI53" s="32"/>
      <c r="AJ53" s="32"/>
      <c r="AK53" s="32"/>
      <c r="AL53" s="32"/>
      <c r="AM53" s="32"/>
      <c r="AN53" s="32"/>
      <c r="AO53" s="32"/>
      <c r="AP53" s="115"/>
      <c r="BU53" s="168"/>
      <c r="BV53" s="127" t="s">
        <v>695</v>
      </c>
      <c r="BW53" s="127" t="s">
        <v>696</v>
      </c>
      <c r="BX53" s="127" t="s">
        <v>697</v>
      </c>
      <c r="BY53" s="127" t="s">
        <v>698</v>
      </c>
      <c r="BZ53" s="127" t="s">
        <v>699</v>
      </c>
      <c r="CA53" s="32"/>
      <c r="CB53" s="32"/>
      <c r="CC53" s="115"/>
      <c r="CD53" s="168"/>
      <c r="CE53" s="127" t="s">
        <v>695</v>
      </c>
      <c r="CF53" s="127" t="s">
        <v>696</v>
      </c>
      <c r="CG53" s="127" t="s">
        <v>697</v>
      </c>
      <c r="CH53" s="127" t="s">
        <v>698</v>
      </c>
      <c r="CI53" s="127" t="s">
        <v>699</v>
      </c>
      <c r="CJ53" s="32"/>
      <c r="CK53" s="32"/>
      <c r="CL53" s="32"/>
      <c r="CM53" s="32"/>
      <c r="CN53" s="115"/>
    </row>
    <row r="54" spans="1:92" x14ac:dyDescent="0.25">
      <c r="A54" s="29" t="s">
        <v>745</v>
      </c>
      <c r="W54" s="168"/>
      <c r="X54" s="127" t="s">
        <v>695</v>
      </c>
      <c r="Y54" s="127" t="s">
        <v>696</v>
      </c>
      <c r="Z54" s="127" t="s">
        <v>697</v>
      </c>
      <c r="AA54" s="127" t="s">
        <v>698</v>
      </c>
      <c r="AB54" s="127" t="s">
        <v>699</v>
      </c>
      <c r="AC54" s="32"/>
      <c r="AD54" s="32"/>
      <c r="AE54" s="115"/>
      <c r="AF54" s="168"/>
      <c r="AG54" s="127" t="s">
        <v>695</v>
      </c>
      <c r="AH54" s="127" t="s">
        <v>696</v>
      </c>
      <c r="AI54" s="127" t="s">
        <v>697</v>
      </c>
      <c r="AJ54" s="127" t="s">
        <v>698</v>
      </c>
      <c r="AK54" s="127" t="s">
        <v>699</v>
      </c>
      <c r="AL54" s="32"/>
      <c r="AM54" s="32"/>
      <c r="AN54" s="32"/>
      <c r="AO54" s="32"/>
      <c r="AP54" s="115"/>
      <c r="BU54" s="166" t="s">
        <v>691</v>
      </c>
      <c r="BV54" s="125">
        <v>2</v>
      </c>
      <c r="BW54" s="125">
        <v>6.6205781588364945E-2</v>
      </c>
      <c r="BX54" s="125">
        <v>3.3102890794182473E-2</v>
      </c>
      <c r="BY54" s="125">
        <v>2.3195856181604562</v>
      </c>
      <c r="BZ54" s="177">
        <v>0.17936196555830264</v>
      </c>
      <c r="CA54" s="32"/>
      <c r="CB54" s="32"/>
      <c r="CC54" s="115"/>
      <c r="CD54" s="166" t="s">
        <v>691</v>
      </c>
      <c r="CE54" s="125">
        <v>1</v>
      </c>
      <c r="CF54" s="125">
        <v>5.0399184931465085E-2</v>
      </c>
      <c r="CG54" s="125">
        <v>5.0399184931465085E-2</v>
      </c>
      <c r="CH54" s="125">
        <v>3.4781080884118576</v>
      </c>
      <c r="CI54" s="177">
        <v>0.10444672637471999</v>
      </c>
      <c r="CJ54" s="32"/>
      <c r="CK54" s="32"/>
      <c r="CL54" s="32"/>
      <c r="CM54" s="32"/>
      <c r="CN54" s="115"/>
    </row>
    <row r="55" spans="1:92" x14ac:dyDescent="0.25">
      <c r="A55" t="s">
        <v>718</v>
      </c>
      <c r="B55">
        <v>2025</v>
      </c>
      <c r="C55">
        <v>2026</v>
      </c>
      <c r="D55">
        <v>2027</v>
      </c>
      <c r="E55">
        <v>2028</v>
      </c>
      <c r="F55">
        <v>2029</v>
      </c>
      <c r="G55">
        <v>2030</v>
      </c>
      <c r="H55">
        <v>2031</v>
      </c>
      <c r="I55">
        <v>2032</v>
      </c>
      <c r="J55">
        <v>2033</v>
      </c>
      <c r="K55">
        <v>2034</v>
      </c>
      <c r="W55" s="166" t="s">
        <v>691</v>
      </c>
      <c r="X55" s="125">
        <v>2</v>
      </c>
      <c r="Y55" s="125">
        <v>4.3320324320306138</v>
      </c>
      <c r="Z55" s="125">
        <v>2.1660162160153069</v>
      </c>
      <c r="AA55" s="125">
        <v>1.4067989276883135</v>
      </c>
      <c r="AB55" s="125">
        <v>0.31549614636374013</v>
      </c>
      <c r="AC55" s="32"/>
      <c r="AD55" s="32"/>
      <c r="AE55" s="115"/>
      <c r="AF55" s="166" t="s">
        <v>691</v>
      </c>
      <c r="AG55" s="125">
        <v>1</v>
      </c>
      <c r="AH55" s="125">
        <v>4.2890960666666675</v>
      </c>
      <c r="AI55" s="125">
        <v>4.2890960666666675</v>
      </c>
      <c r="AJ55" s="125">
        <v>3.2349611162688552</v>
      </c>
      <c r="AK55" s="125">
        <v>0.11512012184473257</v>
      </c>
      <c r="AL55" s="32"/>
      <c r="AM55" s="32"/>
      <c r="AN55" s="32"/>
      <c r="AO55" s="32"/>
      <c r="AP55" s="115"/>
      <c r="BU55" s="166" t="s">
        <v>692</v>
      </c>
      <c r="BV55" s="125">
        <v>6</v>
      </c>
      <c r="BW55" s="125">
        <v>8.5626218411635105E-2</v>
      </c>
      <c r="BX55" s="125">
        <v>1.4271036401939184E-2</v>
      </c>
      <c r="BY55" s="125"/>
      <c r="BZ55" s="125"/>
      <c r="CA55" s="32"/>
      <c r="CB55" s="32"/>
      <c r="CC55" s="115"/>
      <c r="CD55" s="166" t="s">
        <v>692</v>
      </c>
      <c r="CE55" s="125">
        <v>7</v>
      </c>
      <c r="CF55" s="125">
        <v>0.10143281506853496</v>
      </c>
      <c r="CG55" s="125">
        <v>1.4490402152647852E-2</v>
      </c>
      <c r="CH55" s="125"/>
      <c r="CI55" s="125"/>
      <c r="CJ55" s="32"/>
      <c r="CK55" s="32"/>
      <c r="CL55" s="32"/>
      <c r="CM55" s="32"/>
      <c r="CN55" s="115"/>
    </row>
    <row r="56" spans="1:92" ht="15.75" thickBot="1" x14ac:dyDescent="0.3">
      <c r="A56" t="s">
        <v>733</v>
      </c>
      <c r="W56" s="166" t="s">
        <v>692</v>
      </c>
      <c r="X56" s="125">
        <v>6</v>
      </c>
      <c r="Y56" s="125">
        <v>9.2380631235249417</v>
      </c>
      <c r="Z56" s="125">
        <v>1.539677187254157</v>
      </c>
      <c r="AA56" s="125"/>
      <c r="AB56" s="125"/>
      <c r="AC56" s="32"/>
      <c r="AD56" s="32"/>
      <c r="AE56" s="115"/>
      <c r="AF56" s="166" t="s">
        <v>692</v>
      </c>
      <c r="AG56" s="125">
        <v>7</v>
      </c>
      <c r="AH56" s="125">
        <v>9.280999488888888</v>
      </c>
      <c r="AI56" s="125">
        <v>1.3258570698412697</v>
      </c>
      <c r="AJ56" s="125"/>
      <c r="AK56" s="125"/>
      <c r="AL56" s="32"/>
      <c r="AM56" s="32"/>
      <c r="AN56" s="32"/>
      <c r="AO56" s="32"/>
      <c r="AP56" s="115"/>
      <c r="BU56" s="167" t="s">
        <v>693</v>
      </c>
      <c r="BV56" s="126">
        <v>8</v>
      </c>
      <c r="BW56" s="126">
        <v>0.15183200000000005</v>
      </c>
      <c r="BX56" s="126"/>
      <c r="BY56" s="126"/>
      <c r="BZ56" s="126"/>
      <c r="CA56" s="32"/>
      <c r="CB56" s="32"/>
      <c r="CC56" s="115"/>
      <c r="CD56" s="167" t="s">
        <v>693</v>
      </c>
      <c r="CE56" s="126">
        <v>8</v>
      </c>
      <c r="CF56" s="126">
        <v>0.15183200000000005</v>
      </c>
      <c r="CG56" s="126"/>
      <c r="CH56" s="126"/>
      <c r="CI56" s="126"/>
      <c r="CJ56" s="32"/>
      <c r="CK56" s="32"/>
      <c r="CL56" s="32"/>
      <c r="CM56" s="32"/>
      <c r="CN56" s="115"/>
    </row>
    <row r="57" spans="1:92" ht="15.75" thickBot="1" x14ac:dyDescent="0.3">
      <c r="A57" t="s">
        <v>733</v>
      </c>
      <c r="B57" s="50">
        <f t="shared" ref="B57:K57" si="18">$AG$118+($AG$119*K8)</f>
        <v>-23.979667691944812</v>
      </c>
      <c r="C57" s="50">
        <f t="shared" si="18"/>
        <v>-20.778716265161641</v>
      </c>
      <c r="D57" s="50">
        <f t="shared" si="18"/>
        <v>-17.207592437987827</v>
      </c>
      <c r="E57" s="50">
        <f t="shared" si="18"/>
        <v>-14.291044326398577</v>
      </c>
      <c r="F57" s="50">
        <f t="shared" si="18"/>
        <v>-11.909090269670543</v>
      </c>
      <c r="G57" s="50">
        <f t="shared" si="18"/>
        <v>-9.9637408664434872</v>
      </c>
      <c r="H57" s="50">
        <f t="shared" si="18"/>
        <v>-8.3749678630572362</v>
      </c>
      <c r="I57" s="50">
        <f t="shared" si="18"/>
        <v>-7.0774119319213264</v>
      </c>
      <c r="J57" s="50">
        <f t="shared" si="18"/>
        <v>-6.0176939037086719</v>
      </c>
      <c r="K57" s="50">
        <f t="shared" si="18"/>
        <v>-5.1522188421937374</v>
      </c>
      <c r="W57" s="167" t="s">
        <v>693</v>
      </c>
      <c r="X57" s="126">
        <v>8</v>
      </c>
      <c r="Y57" s="126">
        <v>13.570095555555556</v>
      </c>
      <c r="Z57" s="126"/>
      <c r="AA57" s="126"/>
      <c r="AB57" s="126"/>
      <c r="AC57" s="32"/>
      <c r="AD57" s="32"/>
      <c r="AE57" s="115"/>
      <c r="AF57" s="167" t="s">
        <v>693</v>
      </c>
      <c r="AG57" s="126">
        <v>8</v>
      </c>
      <c r="AH57" s="126">
        <v>13.570095555555556</v>
      </c>
      <c r="AI57" s="126"/>
      <c r="AJ57" s="126"/>
      <c r="AK57" s="126"/>
      <c r="AL57" s="32"/>
      <c r="AM57" s="32"/>
      <c r="AN57" s="32"/>
      <c r="AO57" s="32"/>
      <c r="AP57" s="115"/>
      <c r="BU57" s="114"/>
      <c r="BV57" s="32"/>
      <c r="BW57" s="32"/>
      <c r="BX57" s="32"/>
      <c r="BY57" s="32"/>
      <c r="BZ57" s="32"/>
      <c r="CA57" s="32"/>
      <c r="CB57" s="32"/>
      <c r="CC57" s="115"/>
      <c r="CD57" s="114"/>
      <c r="CE57" s="32"/>
      <c r="CF57" s="32"/>
      <c r="CG57" s="32"/>
      <c r="CH57" s="32"/>
      <c r="CI57" s="32"/>
      <c r="CJ57" s="32"/>
      <c r="CK57" s="32"/>
      <c r="CL57" s="32"/>
      <c r="CM57" s="32"/>
      <c r="CN57" s="115"/>
    </row>
    <row r="58" spans="1:92" ht="15.75" thickBot="1" x14ac:dyDescent="0.3">
      <c r="A58" t="s">
        <v>399</v>
      </c>
      <c r="B58" s="50">
        <f t="shared" ref="B58:K58" si="19">$AX$20+($AX$21*K8)</f>
        <v>1.3984488939323909</v>
      </c>
      <c r="C58" s="50">
        <f t="shared" si="19"/>
        <v>1.2057688263910882</v>
      </c>
      <c r="D58" s="50">
        <f t="shared" si="19"/>
        <v>0.99080637039727615</v>
      </c>
      <c r="E58" s="50">
        <f t="shared" si="19"/>
        <v>0.81524585347521072</v>
      </c>
      <c r="F58" s="50">
        <f t="shared" si="19"/>
        <v>0.67186502467211007</v>
      </c>
      <c r="G58" s="50">
        <f t="shared" si="19"/>
        <v>0.5547654488182171</v>
      </c>
      <c r="H58" s="50">
        <f t="shared" si="19"/>
        <v>0.45912985527598554</v>
      </c>
      <c r="I58" s="50">
        <f t="shared" si="19"/>
        <v>0.38102396389695309</v>
      </c>
      <c r="J58" s="50">
        <f t="shared" si="19"/>
        <v>0.31723463565464666</v>
      </c>
      <c r="K58" s="50">
        <f t="shared" si="19"/>
        <v>0.26513768975515895</v>
      </c>
      <c r="W58" s="114"/>
      <c r="X58" s="32"/>
      <c r="Y58" s="32"/>
      <c r="Z58" s="32"/>
      <c r="AA58" s="32"/>
      <c r="AB58" s="32"/>
      <c r="AC58" s="32"/>
      <c r="AD58" s="32"/>
      <c r="AE58" s="115"/>
      <c r="AF58" s="114"/>
      <c r="AG58" s="32"/>
      <c r="AH58" s="32"/>
      <c r="AI58" s="32"/>
      <c r="AJ58" s="32"/>
      <c r="AK58" s="32"/>
      <c r="AL58" s="32"/>
      <c r="AM58" s="32"/>
      <c r="AN58" s="32"/>
      <c r="AO58" s="32"/>
      <c r="AP58" s="115"/>
      <c r="BU58" s="168"/>
      <c r="BV58" s="127" t="s">
        <v>700</v>
      </c>
      <c r="BW58" s="127" t="s">
        <v>688</v>
      </c>
      <c r="BX58" s="127" t="s">
        <v>701</v>
      </c>
      <c r="BY58" s="127" t="s">
        <v>702</v>
      </c>
      <c r="BZ58" s="127" t="s">
        <v>703</v>
      </c>
      <c r="CA58" s="127" t="s">
        <v>704</v>
      </c>
      <c r="CB58" s="127" t="s">
        <v>705</v>
      </c>
      <c r="CC58" s="191" t="s">
        <v>706</v>
      </c>
      <c r="CD58" s="168"/>
      <c r="CE58" s="127" t="s">
        <v>700</v>
      </c>
      <c r="CF58" s="127" t="s">
        <v>688</v>
      </c>
      <c r="CG58" s="127" t="s">
        <v>701</v>
      </c>
      <c r="CH58" s="127" t="s">
        <v>702</v>
      </c>
      <c r="CI58" s="127" t="s">
        <v>703</v>
      </c>
      <c r="CJ58" s="127" t="s">
        <v>704</v>
      </c>
      <c r="CK58" s="127" t="s">
        <v>705</v>
      </c>
      <c r="CL58" s="127" t="s">
        <v>706</v>
      </c>
      <c r="CM58" s="32"/>
      <c r="CN58" s="115"/>
    </row>
    <row r="59" spans="1:92" x14ac:dyDescent="0.25">
      <c r="A59" s="179" t="s">
        <v>734</v>
      </c>
      <c r="B59" s="136">
        <f t="shared" ref="B59:K59" si="20">(SUM($B$15:$J$15)/(SUM($B$4:$J$4)))</f>
        <v>5.7802725719643986E-5</v>
      </c>
      <c r="C59" s="136">
        <f t="shared" si="20"/>
        <v>5.7802725719643986E-5</v>
      </c>
      <c r="D59" s="136">
        <f t="shared" si="20"/>
        <v>5.7802725719643986E-5</v>
      </c>
      <c r="E59" s="136">
        <f t="shared" si="20"/>
        <v>5.7802725719643986E-5</v>
      </c>
      <c r="F59" s="136">
        <f t="shared" si="20"/>
        <v>5.7802725719643986E-5</v>
      </c>
      <c r="G59" s="136">
        <f t="shared" si="20"/>
        <v>5.7802725719643986E-5</v>
      </c>
      <c r="H59" s="136">
        <f t="shared" si="20"/>
        <v>5.7802725719643986E-5</v>
      </c>
      <c r="I59" s="136">
        <f t="shared" si="20"/>
        <v>5.7802725719643986E-5</v>
      </c>
      <c r="J59" s="136">
        <f t="shared" si="20"/>
        <v>5.7802725719643986E-5</v>
      </c>
      <c r="K59" s="136">
        <f t="shared" si="20"/>
        <v>5.7802725719643986E-5</v>
      </c>
      <c r="W59" s="168"/>
      <c r="X59" s="127" t="s">
        <v>700</v>
      </c>
      <c r="Y59" s="127" t="s">
        <v>688</v>
      </c>
      <c r="Z59" s="127" t="s">
        <v>701</v>
      </c>
      <c r="AA59" s="127" t="s">
        <v>702</v>
      </c>
      <c r="AB59" s="127" t="s">
        <v>703</v>
      </c>
      <c r="AC59" s="127" t="s">
        <v>704</v>
      </c>
      <c r="AD59" s="127" t="s">
        <v>705</v>
      </c>
      <c r="AE59" s="191" t="s">
        <v>706</v>
      </c>
      <c r="AF59" s="168"/>
      <c r="AG59" s="127" t="s">
        <v>700</v>
      </c>
      <c r="AH59" s="127" t="s">
        <v>688</v>
      </c>
      <c r="AI59" s="127" t="s">
        <v>701</v>
      </c>
      <c r="AJ59" s="127" t="s">
        <v>702</v>
      </c>
      <c r="AK59" s="127" t="s">
        <v>703</v>
      </c>
      <c r="AL59" s="127" t="s">
        <v>704</v>
      </c>
      <c r="AM59" s="127" t="s">
        <v>705</v>
      </c>
      <c r="AN59" s="127" t="s">
        <v>706</v>
      </c>
      <c r="AO59" s="32"/>
      <c r="AP59" s="115"/>
      <c r="BU59" s="166" t="s">
        <v>694</v>
      </c>
      <c r="BV59" s="125">
        <v>-5.2949579642728395E-2</v>
      </c>
      <c r="BW59" s="125">
        <v>7.0260206001513045E-2</v>
      </c>
      <c r="BX59" s="125">
        <v>-0.75362118411079138</v>
      </c>
      <c r="BY59" s="177">
        <v>0.479595105940684</v>
      </c>
      <c r="BZ59" s="125">
        <v>-0.22487011037171759</v>
      </c>
      <c r="CA59" s="125">
        <v>0.1189709510862608</v>
      </c>
      <c r="CB59" s="125">
        <v>-0.31343423615678928</v>
      </c>
      <c r="CC59" s="192">
        <v>0.20753507687133249</v>
      </c>
      <c r="CD59" s="166" t="s">
        <v>694</v>
      </c>
      <c r="CE59" s="125">
        <v>-8.7543125755227075E-2</v>
      </c>
      <c r="CF59" s="125">
        <v>6.2572459680284201E-2</v>
      </c>
      <c r="CG59" s="125">
        <v>-1.3990679957689247</v>
      </c>
      <c r="CH59" s="177">
        <v>0.20450852672969722</v>
      </c>
      <c r="CI59" s="125">
        <v>-0.23550348139703881</v>
      </c>
      <c r="CJ59" s="125">
        <v>6.0417229886584656E-2</v>
      </c>
      <c r="CK59" s="125">
        <v>-0.30651440328051893</v>
      </c>
      <c r="CL59" s="125">
        <v>0.13142815177006476</v>
      </c>
      <c r="CM59" s="32"/>
      <c r="CN59" s="115"/>
    </row>
    <row r="60" spans="1:92" ht="15.75" thickBot="1" x14ac:dyDescent="0.3">
      <c r="W60" s="166" t="s">
        <v>694</v>
      </c>
      <c r="X60" s="125">
        <v>-486.26653583398632</v>
      </c>
      <c r="Y60" s="125">
        <v>466.09429534121313</v>
      </c>
      <c r="Z60" s="125">
        <v>-1.043279312135768</v>
      </c>
      <c r="AA60" s="177">
        <v>0.33701892152667873</v>
      </c>
      <c r="AB60" s="125">
        <v>-1626.7581908554644</v>
      </c>
      <c r="AC60" s="125">
        <v>654.2251191874916</v>
      </c>
      <c r="AD60" s="125">
        <v>-2214.2775869616275</v>
      </c>
      <c r="AE60" s="192">
        <v>1241.7445152936548</v>
      </c>
      <c r="AF60" s="166" t="s">
        <v>694</v>
      </c>
      <c r="AG60" s="125">
        <v>-542.28644444444433</v>
      </c>
      <c r="AH60" s="125">
        <v>300.27864911410336</v>
      </c>
      <c r="AI60" s="125">
        <v>-1.8059440657679928</v>
      </c>
      <c r="AJ60" s="177">
        <v>0.11388917966120883</v>
      </c>
      <c r="AK60" s="125">
        <v>-1252.3326203751735</v>
      </c>
      <c r="AL60" s="125">
        <v>167.75973148628475</v>
      </c>
      <c r="AM60" s="125">
        <v>-1593.1065615702191</v>
      </c>
      <c r="AN60" s="125">
        <v>508.53367268133036</v>
      </c>
      <c r="AO60" s="32"/>
      <c r="AP60" s="115"/>
      <c r="BU60" s="166" t="s">
        <v>795</v>
      </c>
      <c r="BV60" s="125">
        <v>4.3702443997073424E-2</v>
      </c>
      <c r="BW60" s="125">
        <v>4.1525445099256146E-2</v>
      </c>
      <c r="BX60" s="125">
        <v>1.0524256607632672</v>
      </c>
      <c r="BY60" s="177">
        <v>0.33313090158445791</v>
      </c>
      <c r="BZ60" s="125">
        <v>-5.7906659740366247E-2</v>
      </c>
      <c r="CA60" s="125">
        <v>0.1453115477345131</v>
      </c>
      <c r="CB60" s="125">
        <v>-0.11025015476189254</v>
      </c>
      <c r="CC60" s="192">
        <v>0.1976550427560394</v>
      </c>
      <c r="CD60" s="167" t="s">
        <v>796</v>
      </c>
      <c r="CE60" s="126">
        <v>1.1764790245212315</v>
      </c>
      <c r="CF60" s="126">
        <v>0.63083045425097617</v>
      </c>
      <c r="CG60" s="126">
        <v>1.8649686561472965</v>
      </c>
      <c r="CH60" s="175">
        <v>0.10444672637472019</v>
      </c>
      <c r="CI60" s="126">
        <v>-0.31519796624391949</v>
      </c>
      <c r="CJ60" s="126">
        <v>2.6681560152863826</v>
      </c>
      <c r="CK60" s="126">
        <v>-1.0311016135900848</v>
      </c>
      <c r="CL60" s="126">
        <v>3.3840596626325476</v>
      </c>
      <c r="CM60" s="32"/>
      <c r="CN60" s="115"/>
    </row>
    <row r="61" spans="1:92" ht="15.75" thickBot="1" x14ac:dyDescent="0.3">
      <c r="W61" s="166" t="s">
        <v>718</v>
      </c>
      <c r="X61" s="125">
        <v>0.23954204479586177</v>
      </c>
      <c r="Y61" s="125">
        <v>0.23113646547120273</v>
      </c>
      <c r="Z61" s="125">
        <v>1.0363663055395571</v>
      </c>
      <c r="AA61" s="177">
        <v>0.33998198903286436</v>
      </c>
      <c r="AB61" s="125">
        <v>-0.32602851179738429</v>
      </c>
      <c r="AC61" s="125">
        <v>0.8051126013891079</v>
      </c>
      <c r="AD61" s="125">
        <v>-0.61737976404204264</v>
      </c>
      <c r="AE61" s="192">
        <v>1.0964638536337661</v>
      </c>
      <c r="AF61" s="167" t="s">
        <v>718</v>
      </c>
      <c r="AG61" s="126">
        <v>0.26736666666666659</v>
      </c>
      <c r="AH61" s="126">
        <v>0.14865267515483138</v>
      </c>
      <c r="AI61" s="126">
        <v>1.7985997654477923</v>
      </c>
      <c r="AJ61" s="175">
        <v>0.11512012184473271</v>
      </c>
      <c r="AK61" s="126">
        <v>-8.4141054068591958E-2</v>
      </c>
      <c r="AL61" s="126">
        <v>0.61887438740192513</v>
      </c>
      <c r="AM61" s="126">
        <v>-0.25284088714413472</v>
      </c>
      <c r="AN61" s="126">
        <v>0.78757422047746783</v>
      </c>
      <c r="AO61" s="32"/>
      <c r="AP61" s="115"/>
      <c r="BU61" s="167" t="s">
        <v>796</v>
      </c>
      <c r="BV61" s="126">
        <v>1.8838760976047544</v>
      </c>
      <c r="BW61" s="126">
        <v>0.91854231975796063</v>
      </c>
      <c r="BX61" s="126">
        <v>2.0509409932262708</v>
      </c>
      <c r="BY61" s="175">
        <v>8.6129754072037087E-2</v>
      </c>
      <c r="BZ61" s="126">
        <v>-0.36371599038919156</v>
      </c>
      <c r="CA61" s="126">
        <v>4.1314681855987008</v>
      </c>
      <c r="CB61" s="126">
        <v>-1.5215534374385746</v>
      </c>
      <c r="CC61" s="193">
        <v>5.2893056326480838</v>
      </c>
      <c r="CD61" s="116"/>
      <c r="CE61" s="169"/>
      <c r="CF61" s="169"/>
      <c r="CG61" s="169"/>
      <c r="CH61" s="169"/>
      <c r="CI61" s="169"/>
      <c r="CJ61" s="169"/>
      <c r="CK61" s="169"/>
      <c r="CL61" s="169"/>
      <c r="CM61" s="169"/>
      <c r="CN61" s="170"/>
    </row>
    <row r="62" spans="1:92" ht="15.75" thickBot="1" x14ac:dyDescent="0.3">
      <c r="W62" s="167" t="s">
        <v>49</v>
      </c>
      <c r="X62" s="126">
        <v>3.2862885639703878E-3</v>
      </c>
      <c r="Y62" s="126">
        <v>1.9679220599478173E-2</v>
      </c>
      <c r="Z62" s="126">
        <v>0.16699282104991137</v>
      </c>
      <c r="AA62" s="175">
        <v>0.87286155640037666</v>
      </c>
      <c r="AB62" s="126">
        <v>-4.4867029542188963E-2</v>
      </c>
      <c r="AC62" s="126">
        <v>5.1439606670129742E-2</v>
      </c>
      <c r="AD62" s="126">
        <v>-6.9673005324366821E-2</v>
      </c>
      <c r="AE62" s="193">
        <v>7.6245582452307586E-2</v>
      </c>
      <c r="AF62" s="116"/>
      <c r="AG62" s="169"/>
      <c r="AH62" s="169"/>
      <c r="AI62" s="169"/>
      <c r="AJ62" s="169"/>
      <c r="AK62" s="169"/>
      <c r="AL62" s="169"/>
      <c r="AM62" s="169"/>
      <c r="AN62" s="169"/>
      <c r="AO62" s="169"/>
      <c r="AP62" s="170"/>
      <c r="BU62" s="171" t="s">
        <v>799</v>
      </c>
      <c r="BV62" s="163"/>
      <c r="BW62" s="163"/>
      <c r="BX62" s="163"/>
      <c r="BY62" s="163"/>
      <c r="BZ62" s="163"/>
      <c r="CA62" s="163"/>
      <c r="CB62" s="163"/>
      <c r="CC62" s="113"/>
      <c r="CD62" s="171" t="s">
        <v>800</v>
      </c>
      <c r="CE62" s="163"/>
      <c r="CF62" s="163"/>
      <c r="CG62" s="163"/>
      <c r="CH62" s="163"/>
      <c r="CI62" s="163"/>
      <c r="CJ62" s="163"/>
      <c r="CK62" s="163"/>
      <c r="CL62" s="163"/>
      <c r="CM62" s="163"/>
      <c r="CN62" s="113"/>
    </row>
    <row r="63" spans="1:92" x14ac:dyDescent="0.25">
      <c r="W63" s="171" t="s">
        <v>751</v>
      </c>
      <c r="X63" s="163"/>
      <c r="Y63" s="163"/>
      <c r="Z63" s="163"/>
      <c r="AA63" s="163"/>
      <c r="AB63" s="163"/>
      <c r="AC63" s="163"/>
      <c r="AD63" s="163"/>
      <c r="AE63" s="113"/>
      <c r="AF63" s="171" t="s">
        <v>779</v>
      </c>
      <c r="AG63" s="163"/>
      <c r="AH63" s="163"/>
      <c r="AI63" s="163"/>
      <c r="AJ63" s="163"/>
      <c r="AK63" s="163"/>
      <c r="AL63" s="163"/>
      <c r="AM63" s="163"/>
      <c r="AN63" s="163"/>
      <c r="AO63" s="163"/>
      <c r="AP63" s="113"/>
      <c r="BU63" s="114" t="s">
        <v>740</v>
      </c>
      <c r="BV63" s="32"/>
      <c r="BW63" s="32"/>
      <c r="BX63" s="32"/>
      <c r="BY63" s="32"/>
      <c r="BZ63" s="32"/>
      <c r="CA63" s="32"/>
      <c r="CB63" s="32"/>
      <c r="CC63" s="115"/>
      <c r="CD63" s="114" t="s">
        <v>740</v>
      </c>
      <c r="CE63" s="32"/>
      <c r="CF63" s="32"/>
      <c r="CG63" s="32"/>
      <c r="CH63" s="32"/>
      <c r="CI63" s="32"/>
      <c r="CJ63" s="32"/>
      <c r="CK63" s="32"/>
      <c r="CL63" s="32"/>
      <c r="CM63" s="32"/>
      <c r="CN63" s="115"/>
    </row>
    <row r="64" spans="1:92" ht="15.75" thickBot="1" x14ac:dyDescent="0.3">
      <c r="W64" s="114" t="s">
        <v>740</v>
      </c>
      <c r="X64" s="32"/>
      <c r="Y64" s="32"/>
      <c r="Z64" s="32"/>
      <c r="AA64" s="32"/>
      <c r="AB64" s="32"/>
      <c r="AC64" s="32"/>
      <c r="AD64" s="32"/>
      <c r="AE64" s="115"/>
      <c r="AF64" s="114" t="s">
        <v>740</v>
      </c>
      <c r="AG64" s="32"/>
      <c r="AH64" s="32"/>
      <c r="AI64" s="32"/>
      <c r="AJ64" s="32"/>
      <c r="AK64" s="32"/>
      <c r="AL64" s="32"/>
      <c r="AM64" s="32"/>
      <c r="AN64" s="32"/>
      <c r="AO64" s="32"/>
      <c r="AP64" s="115"/>
      <c r="BU64" s="114"/>
      <c r="BV64" s="32"/>
      <c r="BW64" s="32"/>
      <c r="BX64" s="32"/>
      <c r="BY64" s="32"/>
      <c r="BZ64" s="32"/>
      <c r="CA64" s="32"/>
      <c r="CB64" s="32"/>
      <c r="CC64" s="115"/>
      <c r="CD64" s="114"/>
      <c r="CE64" s="32"/>
      <c r="CF64" s="32"/>
      <c r="CG64" s="32"/>
      <c r="CH64" s="32"/>
      <c r="CI64" s="32"/>
      <c r="CJ64" s="32"/>
      <c r="CK64" s="32"/>
      <c r="CL64" s="32"/>
      <c r="CM64" s="32"/>
      <c r="CN64" s="115"/>
    </row>
    <row r="65" spans="23:92" ht="15.75" thickBot="1" x14ac:dyDescent="0.3">
      <c r="W65" s="114"/>
      <c r="X65" s="32"/>
      <c r="Y65" s="32"/>
      <c r="Z65" s="32"/>
      <c r="AA65" s="32"/>
      <c r="AB65" s="32"/>
      <c r="AC65" s="32"/>
      <c r="AD65" s="32"/>
      <c r="AE65" s="115"/>
      <c r="AF65" s="114"/>
      <c r="AG65" s="32"/>
      <c r="AH65" s="32"/>
      <c r="AI65" s="32"/>
      <c r="AJ65" s="32"/>
      <c r="AK65" s="32"/>
      <c r="AL65" s="32"/>
      <c r="AM65" s="32"/>
      <c r="AN65" s="32"/>
      <c r="AO65" s="32"/>
      <c r="AP65" s="115"/>
      <c r="BU65" s="165" t="s">
        <v>684</v>
      </c>
      <c r="BV65" s="128"/>
      <c r="BW65" s="32"/>
      <c r="BX65" s="32"/>
      <c r="BY65" s="32"/>
      <c r="BZ65" s="32"/>
      <c r="CA65" s="32"/>
      <c r="CB65" s="32"/>
      <c r="CC65" s="115"/>
      <c r="CD65" s="165" t="s">
        <v>684</v>
      </c>
      <c r="CE65" s="128"/>
      <c r="CF65" s="32"/>
      <c r="CG65" s="32"/>
      <c r="CH65" s="32"/>
      <c r="CI65" s="32"/>
      <c r="CJ65" s="32"/>
      <c r="CK65" s="32"/>
      <c r="CL65" s="32"/>
      <c r="CM65" s="32"/>
      <c r="CN65" s="115"/>
    </row>
    <row r="66" spans="23:92" x14ac:dyDescent="0.25">
      <c r="W66" s="168" t="s">
        <v>684</v>
      </c>
      <c r="X66" s="127"/>
      <c r="Y66" s="32"/>
      <c r="Z66" s="32"/>
      <c r="AA66" s="32"/>
      <c r="AB66" s="32"/>
      <c r="AC66" s="32"/>
      <c r="AD66" s="32"/>
      <c r="AE66" s="115"/>
      <c r="AF66" s="168" t="s">
        <v>684</v>
      </c>
      <c r="AG66" s="127"/>
      <c r="AH66" s="32"/>
      <c r="AI66" s="32"/>
      <c r="AJ66" s="32"/>
      <c r="AK66" s="32"/>
      <c r="AL66" s="32"/>
      <c r="AM66" s="32"/>
      <c r="AN66" s="32"/>
      <c r="AO66" s="32"/>
      <c r="AP66" s="115"/>
      <c r="BU66" s="166" t="s">
        <v>685</v>
      </c>
      <c r="BV66" s="125">
        <v>0.32573885841264105</v>
      </c>
      <c r="BW66" s="32"/>
      <c r="BX66" s="32"/>
      <c r="BY66" s="32"/>
      <c r="BZ66" s="32"/>
      <c r="CA66" s="32"/>
      <c r="CB66" s="32"/>
      <c r="CC66" s="115"/>
      <c r="CD66" s="166" t="s">
        <v>685</v>
      </c>
      <c r="CE66" s="125">
        <v>0.31466534861323475</v>
      </c>
      <c r="CF66" s="32"/>
      <c r="CG66" s="32"/>
      <c r="CH66" s="32"/>
      <c r="CI66" s="32"/>
      <c r="CJ66" s="32"/>
      <c r="CK66" s="32"/>
      <c r="CL66" s="32"/>
      <c r="CM66" s="32"/>
      <c r="CN66" s="115"/>
    </row>
    <row r="67" spans="23:92" x14ac:dyDescent="0.25">
      <c r="W67" s="166" t="s">
        <v>685</v>
      </c>
      <c r="X67" s="125">
        <v>0.4442638091789855</v>
      </c>
      <c r="Y67" s="32"/>
      <c r="Z67" s="32"/>
      <c r="AA67" s="32"/>
      <c r="AB67" s="32"/>
      <c r="AC67" s="32"/>
      <c r="AD67" s="32"/>
      <c r="AE67" s="115"/>
      <c r="AF67" s="166" t="s">
        <v>685</v>
      </c>
      <c r="AG67" s="125">
        <v>0.47290048897974252</v>
      </c>
      <c r="AH67" s="32"/>
      <c r="AI67" s="32"/>
      <c r="AJ67" s="32"/>
      <c r="AK67" s="32"/>
      <c r="AL67" s="32"/>
      <c r="AM67" s="32"/>
      <c r="AN67" s="32"/>
      <c r="AO67" s="32"/>
      <c r="AP67" s="115"/>
      <c r="BU67" s="166" t="s">
        <v>686</v>
      </c>
      <c r="BV67" s="125">
        <v>0.10610580387997062</v>
      </c>
      <c r="BW67" s="32"/>
      <c r="BX67" s="32"/>
      <c r="BY67" s="32"/>
      <c r="BZ67" s="32"/>
      <c r="CA67" s="32"/>
      <c r="CB67" s="32"/>
      <c r="CC67" s="115"/>
      <c r="CD67" s="166" t="s">
        <v>686</v>
      </c>
      <c r="CE67" s="125">
        <v>9.9014281617888569E-2</v>
      </c>
      <c r="CF67" s="32"/>
      <c r="CG67" s="32"/>
      <c r="CH67" s="32"/>
      <c r="CI67" s="32"/>
      <c r="CJ67" s="32"/>
      <c r="CK67" s="32"/>
      <c r="CL67" s="32"/>
      <c r="CM67" s="32"/>
      <c r="CN67" s="115"/>
    </row>
    <row r="68" spans="23:92" x14ac:dyDescent="0.25">
      <c r="W68" s="166" t="s">
        <v>686</v>
      </c>
      <c r="X68" s="125">
        <v>0.19737033214622204</v>
      </c>
      <c r="Y68" s="32"/>
      <c r="Z68" s="32"/>
      <c r="AA68" s="32"/>
      <c r="AB68" s="32"/>
      <c r="AC68" s="32"/>
      <c r="AD68" s="32"/>
      <c r="AE68" s="115"/>
      <c r="AF68" s="166" t="s">
        <v>686</v>
      </c>
      <c r="AG68" s="125">
        <v>0.22363487247727959</v>
      </c>
      <c r="AH68" s="32"/>
      <c r="AI68" s="32"/>
      <c r="AJ68" s="32"/>
      <c r="AK68" s="32"/>
      <c r="AL68" s="32"/>
      <c r="AM68" s="32"/>
      <c r="AN68" s="32"/>
      <c r="AO68" s="32"/>
      <c r="AP68" s="115"/>
      <c r="BU68" s="166" t="s">
        <v>687</v>
      </c>
      <c r="BV68" s="125">
        <v>-0.19185892816003916</v>
      </c>
      <c r="BW68" s="32"/>
      <c r="BX68" s="32"/>
      <c r="BY68" s="32"/>
      <c r="BZ68" s="32"/>
      <c r="CA68" s="32"/>
      <c r="CB68" s="32"/>
      <c r="CC68" s="115"/>
      <c r="CD68" s="166" t="s">
        <v>687</v>
      </c>
      <c r="CE68" s="125">
        <v>-2.9697963865270207E-2</v>
      </c>
      <c r="CF68" s="32"/>
      <c r="CG68" s="32"/>
      <c r="CH68" s="32"/>
      <c r="CI68" s="32"/>
      <c r="CJ68" s="32"/>
      <c r="CK68" s="32"/>
      <c r="CL68" s="32"/>
      <c r="CM68" s="32"/>
      <c r="CN68" s="115"/>
    </row>
    <row r="69" spans="23:92" x14ac:dyDescent="0.25">
      <c r="W69" s="209" t="s">
        <v>687</v>
      </c>
      <c r="X69" s="177">
        <v>8.2708951024253768E-2</v>
      </c>
      <c r="Y69" s="32"/>
      <c r="Z69" s="32"/>
      <c r="AA69" s="32"/>
      <c r="AB69" s="32"/>
      <c r="AC69" s="32"/>
      <c r="AD69" s="32"/>
      <c r="AE69" s="115"/>
      <c r="AF69" s="166" t="s">
        <v>687</v>
      </c>
      <c r="AG69" s="125">
        <v>0.11272556854546238</v>
      </c>
      <c r="AH69" s="32"/>
      <c r="AI69" s="32"/>
      <c r="AJ69" s="32"/>
      <c r="AK69" s="32"/>
      <c r="AL69" s="32"/>
      <c r="AM69" s="32"/>
      <c r="AN69" s="32"/>
      <c r="AO69" s="32"/>
      <c r="AP69" s="115"/>
      <c r="BU69" s="166" t="s">
        <v>688</v>
      </c>
      <c r="BV69" s="125">
        <v>0.15040043416675827</v>
      </c>
      <c r="BW69" s="32"/>
      <c r="BX69" s="32"/>
      <c r="BY69" s="32"/>
      <c r="BZ69" s="32"/>
      <c r="CA69" s="32"/>
      <c r="CB69" s="32"/>
      <c r="CC69" s="115"/>
      <c r="CD69" s="166" t="s">
        <v>688</v>
      </c>
      <c r="CE69" s="125">
        <v>0.13979498437425775</v>
      </c>
      <c r="CF69" s="32"/>
      <c r="CG69" s="32"/>
      <c r="CH69" s="32"/>
      <c r="CI69" s="32"/>
      <c r="CJ69" s="32"/>
      <c r="CK69" s="32"/>
      <c r="CL69" s="32"/>
      <c r="CM69" s="32"/>
      <c r="CN69" s="115"/>
    </row>
    <row r="70" spans="23:92" ht="15.75" thickBot="1" x14ac:dyDescent="0.3">
      <c r="W70" s="166" t="s">
        <v>688</v>
      </c>
      <c r="X70" s="125">
        <v>1.2473836211675555</v>
      </c>
      <c r="Y70" s="32"/>
      <c r="Z70" s="32"/>
      <c r="AA70" s="32"/>
      <c r="AB70" s="32"/>
      <c r="AC70" s="32"/>
      <c r="AD70" s="32"/>
      <c r="AE70" s="115"/>
      <c r="AF70" s="166" t="s">
        <v>688</v>
      </c>
      <c r="AG70" s="125">
        <v>1.2268047327732776</v>
      </c>
      <c r="AH70" s="32"/>
      <c r="AI70" s="32"/>
      <c r="AJ70" s="32"/>
      <c r="AK70" s="32"/>
      <c r="AL70" s="32"/>
      <c r="AM70" s="32"/>
      <c r="AN70" s="32"/>
      <c r="AO70" s="32"/>
      <c r="AP70" s="115"/>
      <c r="BU70" s="167" t="s">
        <v>689</v>
      </c>
      <c r="BV70" s="126">
        <v>9</v>
      </c>
      <c r="BW70" s="32"/>
      <c r="BX70" s="32"/>
      <c r="BY70" s="32"/>
      <c r="BZ70" s="32"/>
      <c r="CA70" s="32"/>
      <c r="CB70" s="32"/>
      <c r="CC70" s="115"/>
      <c r="CD70" s="167" t="s">
        <v>689</v>
      </c>
      <c r="CE70" s="126">
        <v>9</v>
      </c>
      <c r="CF70" s="32"/>
      <c r="CG70" s="32"/>
      <c r="CH70" s="32"/>
      <c r="CI70" s="32"/>
      <c r="CJ70" s="32"/>
      <c r="CK70" s="32"/>
      <c r="CL70" s="32"/>
      <c r="CM70" s="32"/>
      <c r="CN70" s="115"/>
    </row>
    <row r="71" spans="23:92" ht="15.75" thickBot="1" x14ac:dyDescent="0.3">
      <c r="W71" s="167" t="s">
        <v>689</v>
      </c>
      <c r="X71" s="126">
        <v>9</v>
      </c>
      <c r="Y71" s="32"/>
      <c r="Z71" s="32"/>
      <c r="AA71" s="32"/>
      <c r="AB71" s="32"/>
      <c r="AC71" s="32"/>
      <c r="AD71" s="32"/>
      <c r="AE71" s="115"/>
      <c r="AF71" s="167" t="s">
        <v>689</v>
      </c>
      <c r="AG71" s="126">
        <v>9</v>
      </c>
      <c r="AH71" s="32"/>
      <c r="AI71" s="32"/>
      <c r="AJ71" s="32"/>
      <c r="AK71" s="32"/>
      <c r="AL71" s="32"/>
      <c r="AM71" s="32"/>
      <c r="AN71" s="32"/>
      <c r="AO71" s="32"/>
      <c r="AP71" s="115"/>
      <c r="BU71" s="114"/>
      <c r="BV71" s="32"/>
      <c r="BW71" s="32"/>
      <c r="BX71" s="32"/>
      <c r="BY71" s="32"/>
      <c r="BZ71" s="32"/>
      <c r="CA71" s="32"/>
      <c r="CB71" s="32"/>
      <c r="CC71" s="115"/>
      <c r="CD71" s="114"/>
      <c r="CE71" s="32"/>
      <c r="CF71" s="32"/>
      <c r="CG71" s="32"/>
      <c r="CH71" s="32"/>
      <c r="CI71" s="32"/>
      <c r="CJ71" s="32"/>
      <c r="CK71" s="32"/>
      <c r="CL71" s="32"/>
      <c r="CM71" s="32"/>
      <c r="CN71" s="115"/>
    </row>
    <row r="72" spans="23:92" ht="15.75" thickBot="1" x14ac:dyDescent="0.3">
      <c r="W72" s="114"/>
      <c r="X72" s="32"/>
      <c r="Y72" s="32"/>
      <c r="Z72" s="32"/>
      <c r="AA72" s="32"/>
      <c r="AB72" s="32"/>
      <c r="AC72" s="32"/>
      <c r="AD72" s="32"/>
      <c r="AE72" s="115"/>
      <c r="AF72" s="114"/>
      <c r="AG72" s="32"/>
      <c r="AH72" s="32"/>
      <c r="AI72" s="32"/>
      <c r="AJ72" s="32"/>
      <c r="AK72" s="32"/>
      <c r="AL72" s="32"/>
      <c r="AM72" s="32"/>
      <c r="AN72" s="32"/>
      <c r="AO72" s="32"/>
      <c r="AP72" s="115"/>
      <c r="BU72" s="114" t="s">
        <v>690</v>
      </c>
      <c r="BV72" s="32"/>
      <c r="BW72" s="32"/>
      <c r="BX72" s="32"/>
      <c r="BY72" s="32"/>
      <c r="BZ72" s="32"/>
      <c r="CA72" s="32"/>
      <c r="CB72" s="32"/>
      <c r="CC72" s="115"/>
      <c r="CD72" s="114" t="s">
        <v>690</v>
      </c>
      <c r="CE72" s="32"/>
      <c r="CF72" s="32"/>
      <c r="CG72" s="32"/>
      <c r="CH72" s="32"/>
      <c r="CI72" s="32"/>
      <c r="CJ72" s="32"/>
      <c r="CK72" s="32"/>
      <c r="CL72" s="32"/>
      <c r="CM72" s="32"/>
      <c r="CN72" s="115"/>
    </row>
    <row r="73" spans="23:92" ht="15.75" thickBot="1" x14ac:dyDescent="0.3">
      <c r="W73" s="114" t="s">
        <v>690</v>
      </c>
      <c r="X73" s="32"/>
      <c r="Y73" s="32"/>
      <c r="Z73" s="32"/>
      <c r="AA73" s="32"/>
      <c r="AB73" s="32"/>
      <c r="AC73" s="32"/>
      <c r="AD73" s="32"/>
      <c r="AE73" s="115"/>
      <c r="AF73" s="114" t="s">
        <v>690</v>
      </c>
      <c r="AG73" s="32"/>
      <c r="AH73" s="32"/>
      <c r="AI73" s="32"/>
      <c r="AJ73" s="32"/>
      <c r="AK73" s="32"/>
      <c r="AL73" s="32"/>
      <c r="AM73" s="32"/>
      <c r="AN73" s="32"/>
      <c r="AO73" s="32"/>
      <c r="AP73" s="115"/>
      <c r="BU73" s="168"/>
      <c r="BV73" s="127" t="s">
        <v>695</v>
      </c>
      <c r="BW73" s="127" t="s">
        <v>696</v>
      </c>
      <c r="BX73" s="127" t="s">
        <v>697</v>
      </c>
      <c r="BY73" s="127" t="s">
        <v>698</v>
      </c>
      <c r="BZ73" s="127" t="s">
        <v>699</v>
      </c>
      <c r="CA73" s="32"/>
      <c r="CB73" s="32"/>
      <c r="CC73" s="115"/>
      <c r="CD73" s="168"/>
      <c r="CE73" s="127" t="s">
        <v>695</v>
      </c>
      <c r="CF73" s="127" t="s">
        <v>696</v>
      </c>
      <c r="CG73" s="127" t="s">
        <v>697</v>
      </c>
      <c r="CH73" s="127" t="s">
        <v>698</v>
      </c>
      <c r="CI73" s="127" t="s">
        <v>699</v>
      </c>
      <c r="CJ73" s="32"/>
      <c r="CK73" s="32"/>
      <c r="CL73" s="32"/>
      <c r="CM73" s="32"/>
      <c r="CN73" s="115"/>
    </row>
    <row r="74" spans="23:92" x14ac:dyDescent="0.25">
      <c r="W74" s="168"/>
      <c r="X74" s="127" t="s">
        <v>695</v>
      </c>
      <c r="Y74" s="127" t="s">
        <v>696</v>
      </c>
      <c r="Z74" s="127" t="s">
        <v>697</v>
      </c>
      <c r="AA74" s="127" t="s">
        <v>698</v>
      </c>
      <c r="AB74" s="127" t="s">
        <v>699</v>
      </c>
      <c r="AC74" s="32"/>
      <c r="AD74" s="32"/>
      <c r="AE74" s="115"/>
      <c r="AF74" s="168"/>
      <c r="AG74" s="127" t="s">
        <v>695</v>
      </c>
      <c r="AH74" s="127" t="s">
        <v>696</v>
      </c>
      <c r="AI74" s="127" t="s">
        <v>697</v>
      </c>
      <c r="AJ74" s="127" t="s">
        <v>698</v>
      </c>
      <c r="AK74" s="127" t="s">
        <v>699</v>
      </c>
      <c r="AL74" s="32"/>
      <c r="AM74" s="32"/>
      <c r="AN74" s="32"/>
      <c r="AO74" s="32"/>
      <c r="AP74" s="115"/>
      <c r="BU74" s="166" t="s">
        <v>691</v>
      </c>
      <c r="BV74" s="125">
        <v>2</v>
      </c>
      <c r="BW74" s="125">
        <v>1.6110256414703705E-2</v>
      </c>
      <c r="BX74" s="125">
        <v>8.0551282073518526E-3</v>
      </c>
      <c r="BY74" s="125">
        <v>0.35610188881589877</v>
      </c>
      <c r="BZ74" s="177">
        <v>0.71426332721292352</v>
      </c>
      <c r="CA74" s="32"/>
      <c r="CB74" s="32"/>
      <c r="CC74" s="115"/>
      <c r="CD74" s="166" t="s">
        <v>691</v>
      </c>
      <c r="CE74" s="125">
        <v>1</v>
      </c>
      <c r="CF74" s="125">
        <v>1.5033536406607262E-2</v>
      </c>
      <c r="CG74" s="125">
        <v>1.5033536406607262E-2</v>
      </c>
      <c r="CH74" s="125">
        <v>0.769268543534531</v>
      </c>
      <c r="CI74" s="125">
        <v>0.40953304560162973</v>
      </c>
      <c r="CJ74" s="32"/>
      <c r="CK74" s="32"/>
      <c r="CL74" s="32"/>
      <c r="CM74" s="32"/>
      <c r="CN74" s="115"/>
    </row>
    <row r="75" spans="23:92" x14ac:dyDescent="0.25">
      <c r="W75" s="166" t="s">
        <v>691</v>
      </c>
      <c r="X75" s="125">
        <v>1</v>
      </c>
      <c r="Y75" s="125">
        <v>2.6783342670559716</v>
      </c>
      <c r="Z75" s="125">
        <v>2.6783342670559716</v>
      </c>
      <c r="AA75" s="125">
        <v>1.7213322412039858</v>
      </c>
      <c r="AB75" s="177">
        <v>0.23090688945822202</v>
      </c>
      <c r="AC75" s="32"/>
      <c r="AD75" s="32"/>
      <c r="AE75" s="115"/>
      <c r="AF75" s="166" t="s">
        <v>691</v>
      </c>
      <c r="AG75" s="125">
        <v>1</v>
      </c>
      <c r="AH75" s="125">
        <v>3.0347465890711653</v>
      </c>
      <c r="AI75" s="125">
        <v>3.0347465890711653</v>
      </c>
      <c r="AJ75" s="125">
        <v>2.0163761248989696</v>
      </c>
      <c r="AK75" s="125">
        <v>0.19857786970463898</v>
      </c>
      <c r="AL75" s="32"/>
      <c r="AM75" s="32"/>
      <c r="AN75" s="32"/>
      <c r="AO75" s="32"/>
      <c r="AP75" s="115"/>
      <c r="BU75" s="166" t="s">
        <v>692</v>
      </c>
      <c r="BV75" s="125">
        <v>6</v>
      </c>
      <c r="BW75" s="125">
        <v>0.13572174358529634</v>
      </c>
      <c r="BX75" s="125">
        <v>2.262029059754939E-2</v>
      </c>
      <c r="BY75" s="125"/>
      <c r="BZ75" s="125"/>
      <c r="CA75" s="32"/>
      <c r="CB75" s="32"/>
      <c r="CC75" s="115"/>
      <c r="CD75" s="166" t="s">
        <v>692</v>
      </c>
      <c r="CE75" s="125">
        <v>7</v>
      </c>
      <c r="CF75" s="125">
        <v>0.13679846359339279</v>
      </c>
      <c r="CG75" s="125">
        <v>1.9542637656198968E-2</v>
      </c>
      <c r="CH75" s="125"/>
      <c r="CI75" s="125"/>
      <c r="CJ75" s="32"/>
      <c r="CK75" s="32"/>
      <c r="CL75" s="32"/>
      <c r="CM75" s="32"/>
      <c r="CN75" s="115"/>
    </row>
    <row r="76" spans="23:92" ht="15.75" thickBot="1" x14ac:dyDescent="0.3">
      <c r="W76" s="166" t="s">
        <v>692</v>
      </c>
      <c r="X76" s="125">
        <v>7</v>
      </c>
      <c r="Y76" s="125">
        <v>10.891761288499584</v>
      </c>
      <c r="Z76" s="125">
        <v>1.5559658983570834</v>
      </c>
      <c r="AA76" s="125"/>
      <c r="AB76" s="125"/>
      <c r="AC76" s="32"/>
      <c r="AD76" s="32"/>
      <c r="AE76" s="115"/>
      <c r="AF76" s="166" t="s">
        <v>692</v>
      </c>
      <c r="AG76" s="125">
        <v>7</v>
      </c>
      <c r="AH76" s="125">
        <v>10.53534896648439</v>
      </c>
      <c r="AI76" s="125">
        <v>1.505049852354913</v>
      </c>
      <c r="AJ76" s="125"/>
      <c r="AK76" s="125"/>
      <c r="AL76" s="32"/>
      <c r="AM76" s="32"/>
      <c r="AN76" s="32"/>
      <c r="AO76" s="32"/>
      <c r="AP76" s="115"/>
      <c r="BU76" s="167" t="s">
        <v>693</v>
      </c>
      <c r="BV76" s="126">
        <v>8</v>
      </c>
      <c r="BW76" s="126">
        <v>0.15183200000000005</v>
      </c>
      <c r="BX76" s="126"/>
      <c r="BY76" s="126"/>
      <c r="BZ76" s="126"/>
      <c r="CA76" s="32"/>
      <c r="CB76" s="32"/>
      <c r="CC76" s="115"/>
      <c r="CD76" s="167" t="s">
        <v>693</v>
      </c>
      <c r="CE76" s="126">
        <v>8</v>
      </c>
      <c r="CF76" s="126">
        <v>0.15183200000000005</v>
      </c>
      <c r="CG76" s="126"/>
      <c r="CH76" s="126"/>
      <c r="CI76" s="126"/>
      <c r="CJ76" s="32"/>
      <c r="CK76" s="32"/>
      <c r="CL76" s="32"/>
      <c r="CM76" s="32"/>
      <c r="CN76" s="115"/>
    </row>
    <row r="77" spans="23:92" ht="15.75" thickBot="1" x14ac:dyDescent="0.3">
      <c r="W77" s="167" t="s">
        <v>693</v>
      </c>
      <c r="X77" s="126">
        <v>8</v>
      </c>
      <c r="Y77" s="126">
        <v>13.570095555555556</v>
      </c>
      <c r="Z77" s="126"/>
      <c r="AA77" s="126"/>
      <c r="AB77" s="126"/>
      <c r="AC77" s="32"/>
      <c r="AD77" s="32"/>
      <c r="AE77" s="115"/>
      <c r="AF77" s="167" t="s">
        <v>693</v>
      </c>
      <c r="AG77" s="126">
        <v>8</v>
      </c>
      <c r="AH77" s="126">
        <v>13.570095555555556</v>
      </c>
      <c r="AI77" s="126"/>
      <c r="AJ77" s="126"/>
      <c r="AK77" s="126"/>
      <c r="AL77" s="32"/>
      <c r="AM77" s="32"/>
      <c r="AN77" s="32"/>
      <c r="AO77" s="32"/>
      <c r="AP77" s="115"/>
      <c r="BU77" s="114"/>
      <c r="BV77" s="32"/>
      <c r="BW77" s="32"/>
      <c r="BX77" s="32"/>
      <c r="BY77" s="32"/>
      <c r="BZ77" s="32"/>
      <c r="CA77" s="32"/>
      <c r="CB77" s="32"/>
      <c r="CC77" s="115"/>
      <c r="CD77" s="114"/>
      <c r="CE77" s="32"/>
      <c r="CF77" s="32"/>
      <c r="CG77" s="32"/>
      <c r="CH77" s="32"/>
      <c r="CI77" s="32"/>
      <c r="CJ77" s="32"/>
      <c r="CK77" s="32"/>
      <c r="CL77" s="32"/>
      <c r="CM77" s="32"/>
      <c r="CN77" s="115"/>
    </row>
    <row r="78" spans="23:92" ht="15.75" thickBot="1" x14ac:dyDescent="0.3">
      <c r="W78" s="114"/>
      <c r="X78" s="32"/>
      <c r="Y78" s="32"/>
      <c r="Z78" s="32"/>
      <c r="AA78" s="32"/>
      <c r="AB78" s="32"/>
      <c r="AC78" s="32"/>
      <c r="AD78" s="32"/>
      <c r="AE78" s="115"/>
      <c r="AF78" s="114"/>
      <c r="AG78" s="32"/>
      <c r="AH78" s="32"/>
      <c r="AI78" s="32"/>
      <c r="AJ78" s="32"/>
      <c r="AK78" s="32"/>
      <c r="AL78" s="32"/>
      <c r="AM78" s="32"/>
      <c r="AN78" s="32"/>
      <c r="AO78" s="32"/>
      <c r="AP78" s="115"/>
      <c r="BU78" s="168"/>
      <c r="BV78" s="127" t="s">
        <v>700</v>
      </c>
      <c r="BW78" s="127" t="s">
        <v>688</v>
      </c>
      <c r="BX78" s="127" t="s">
        <v>701</v>
      </c>
      <c r="BY78" s="127" t="s">
        <v>702</v>
      </c>
      <c r="BZ78" s="127" t="s">
        <v>703</v>
      </c>
      <c r="CA78" s="127" t="s">
        <v>704</v>
      </c>
      <c r="CB78" s="127" t="s">
        <v>705</v>
      </c>
      <c r="CC78" s="191" t="s">
        <v>706</v>
      </c>
      <c r="CD78" s="168"/>
      <c r="CE78" s="127" t="s">
        <v>700</v>
      </c>
      <c r="CF78" s="127" t="s">
        <v>688</v>
      </c>
      <c r="CG78" s="127" t="s">
        <v>701</v>
      </c>
      <c r="CH78" s="127" t="s">
        <v>702</v>
      </c>
      <c r="CI78" s="127" t="s">
        <v>703</v>
      </c>
      <c r="CJ78" s="127" t="s">
        <v>704</v>
      </c>
      <c r="CK78" s="127" t="s">
        <v>705</v>
      </c>
      <c r="CL78" s="127" t="s">
        <v>706</v>
      </c>
      <c r="CM78" s="32"/>
      <c r="CN78" s="115"/>
    </row>
    <row r="79" spans="23:92" x14ac:dyDescent="0.25">
      <c r="W79" s="168"/>
      <c r="X79" s="127" t="s">
        <v>700</v>
      </c>
      <c r="Y79" s="127" t="s">
        <v>688</v>
      </c>
      <c r="Z79" s="127" t="s">
        <v>701</v>
      </c>
      <c r="AA79" s="127" t="s">
        <v>702</v>
      </c>
      <c r="AB79" s="127" t="s">
        <v>703</v>
      </c>
      <c r="AC79" s="127" t="s">
        <v>704</v>
      </c>
      <c r="AD79" s="127" t="s">
        <v>705</v>
      </c>
      <c r="AE79" s="191" t="s">
        <v>706</v>
      </c>
      <c r="AF79" s="168"/>
      <c r="AG79" s="127" t="s">
        <v>700</v>
      </c>
      <c r="AH79" s="127" t="s">
        <v>688</v>
      </c>
      <c r="AI79" s="127" t="s">
        <v>701</v>
      </c>
      <c r="AJ79" s="127" t="s">
        <v>702</v>
      </c>
      <c r="AK79" s="127" t="s">
        <v>703</v>
      </c>
      <c r="AL79" s="127" t="s">
        <v>704</v>
      </c>
      <c r="AM79" s="127" t="s">
        <v>705</v>
      </c>
      <c r="AN79" s="127" t="s">
        <v>706</v>
      </c>
      <c r="AO79" s="32"/>
      <c r="AP79" s="115"/>
      <c r="BU79" s="166" t="s">
        <v>694</v>
      </c>
      <c r="BV79" s="125">
        <v>-4.8063093474881809E-2</v>
      </c>
      <c r="BW79" s="125">
        <v>0.1059387163285956</v>
      </c>
      <c r="BX79" s="125">
        <v>-0.45368770871077979</v>
      </c>
      <c r="BY79" s="177">
        <v>0.66600097535390668</v>
      </c>
      <c r="BZ79" s="125">
        <v>-0.30728579395440747</v>
      </c>
      <c r="CA79" s="125">
        <v>0.21115960700464387</v>
      </c>
      <c r="CB79" s="125">
        <v>-0.4408232589346941</v>
      </c>
      <c r="CC79" s="192">
        <v>0.34469707198493049</v>
      </c>
      <c r="CD79" s="166" t="s">
        <v>694</v>
      </c>
      <c r="CE79" s="125">
        <v>-5.9901229848639687E-2</v>
      </c>
      <c r="CF79" s="125">
        <v>8.4572161587629646E-2</v>
      </c>
      <c r="CG79" s="125">
        <v>-0.70828543014799128</v>
      </c>
      <c r="CH79" s="125">
        <v>0.50166565086858717</v>
      </c>
      <c r="CI79" s="125">
        <v>-0.25988261414837255</v>
      </c>
      <c r="CJ79" s="125">
        <v>0.14008015445109315</v>
      </c>
      <c r="CK79" s="125">
        <v>-0.35586009674537666</v>
      </c>
      <c r="CL79" s="125">
        <v>0.23605763704809732</v>
      </c>
      <c r="CM79" s="32"/>
      <c r="CN79" s="115"/>
    </row>
    <row r="80" spans="23:92" ht="15.75" thickBot="1" x14ac:dyDescent="0.3">
      <c r="W80" s="166" t="s">
        <v>694</v>
      </c>
      <c r="X80" s="125">
        <v>-3.2229643980504328</v>
      </c>
      <c r="Y80" s="125">
        <v>0.87975624289235266</v>
      </c>
      <c r="Z80" s="125">
        <v>-3.6634743135830137</v>
      </c>
      <c r="AA80" s="125">
        <v>8.0332931102734696E-3</v>
      </c>
      <c r="AB80" s="125">
        <v>-5.3032573454838428</v>
      </c>
      <c r="AC80" s="125">
        <v>-1.1426714506170232</v>
      </c>
      <c r="AD80" s="125">
        <v>-6.3016566757920458</v>
      </c>
      <c r="AE80" s="192">
        <v>-0.14427212030881975</v>
      </c>
      <c r="AF80" s="166" t="s">
        <v>694</v>
      </c>
      <c r="AG80" s="125">
        <v>-3.1434520002638591</v>
      </c>
      <c r="AH80" s="125">
        <v>0.77670706345696761</v>
      </c>
      <c r="AI80" s="125">
        <v>-4.047152585780518</v>
      </c>
      <c r="AJ80" s="125">
        <v>4.8883897961284027E-3</v>
      </c>
      <c r="AK80" s="125">
        <v>-4.9800723588976208</v>
      </c>
      <c r="AL80" s="125">
        <v>-1.3068316416300974</v>
      </c>
      <c r="AM80" s="125">
        <v>-5.8615253957656677</v>
      </c>
      <c r="AN80" s="125">
        <v>-0.42537860476205003</v>
      </c>
      <c r="AO80" s="32"/>
      <c r="AP80" s="115"/>
      <c r="BU80" s="166" t="s">
        <v>733</v>
      </c>
      <c r="BV80" s="125">
        <v>1.1501493321432427E-2</v>
      </c>
      <c r="BW80" s="125">
        <v>5.2717150788659996E-2</v>
      </c>
      <c r="BX80" s="125">
        <v>0.21817365220554594</v>
      </c>
      <c r="BY80" s="177">
        <v>0.8345249125651657</v>
      </c>
      <c r="BZ80" s="125">
        <v>-0.1174927277019361</v>
      </c>
      <c r="CA80" s="125">
        <v>0.14049571434480096</v>
      </c>
      <c r="CB80" s="125">
        <v>-0.18394354871684931</v>
      </c>
      <c r="CC80" s="192">
        <v>0.20694653535971419</v>
      </c>
      <c r="CD80" s="167" t="s">
        <v>399</v>
      </c>
      <c r="CE80" s="126">
        <v>0.70520388435159131</v>
      </c>
      <c r="CF80" s="126">
        <v>0.80403639711968122</v>
      </c>
      <c r="CG80" s="126">
        <v>0.87707955370908586</v>
      </c>
      <c r="CH80" s="126">
        <v>0.40953304560163029</v>
      </c>
      <c r="CI80" s="126">
        <v>-1.1960400794408941</v>
      </c>
      <c r="CJ80" s="126">
        <v>2.6064478481440769</v>
      </c>
      <c r="CK80" s="126">
        <v>-2.1085080578306021</v>
      </c>
      <c r="CL80" s="126">
        <v>3.5189158265337852</v>
      </c>
      <c r="CM80" s="32"/>
      <c r="CN80" s="115"/>
    </row>
    <row r="81" spans="23:92" ht="15.75" thickBot="1" x14ac:dyDescent="0.3">
      <c r="W81" s="167" t="s">
        <v>49</v>
      </c>
      <c r="X81" s="126">
        <v>1.798855134030479E-2</v>
      </c>
      <c r="Y81" s="126">
        <v>1.371083291315465E-2</v>
      </c>
      <c r="Z81" s="126">
        <v>1.3119955187438648</v>
      </c>
      <c r="AA81" s="175">
        <v>0.2309068894582223</v>
      </c>
      <c r="AB81" s="126">
        <v>-1.4432416675677247E-2</v>
      </c>
      <c r="AC81" s="126">
        <v>5.0409519356286826E-2</v>
      </c>
      <c r="AD81" s="126">
        <v>-2.9992279432043335E-2</v>
      </c>
      <c r="AE81" s="193">
        <v>6.5969382112652908E-2</v>
      </c>
      <c r="AF81" s="167" t="s">
        <v>778</v>
      </c>
      <c r="AG81" s="126">
        <v>6.1119538122631576E-3</v>
      </c>
      <c r="AH81" s="126">
        <v>4.3042183075725372E-3</v>
      </c>
      <c r="AI81" s="126">
        <v>1.4199915932493987</v>
      </c>
      <c r="AJ81" s="126">
        <v>0.19857786970463942</v>
      </c>
      <c r="AK81" s="126">
        <v>-4.0659051819725168E-3</v>
      </c>
      <c r="AL81" s="126">
        <v>1.6289812806498834E-2</v>
      </c>
      <c r="AM81" s="126">
        <v>-8.9505862632371508E-3</v>
      </c>
      <c r="AN81" s="126">
        <v>2.1174493887763466E-2</v>
      </c>
      <c r="AO81" s="169"/>
      <c r="AP81" s="170"/>
      <c r="BU81" s="167" t="s">
        <v>399</v>
      </c>
      <c r="BV81" s="126">
        <v>0.8593613755582441</v>
      </c>
      <c r="BW81" s="126">
        <v>1.1169339754018921</v>
      </c>
      <c r="BX81" s="126">
        <v>0.76939317317214839</v>
      </c>
      <c r="BY81" s="175">
        <v>0.47085383567665517</v>
      </c>
      <c r="BZ81" s="126">
        <v>-1.8736776057991096</v>
      </c>
      <c r="CA81" s="126">
        <v>3.592400356915598</v>
      </c>
      <c r="CB81" s="126">
        <v>-3.2815909428164129</v>
      </c>
      <c r="CC81" s="193">
        <v>5.0003136939329007</v>
      </c>
      <c r="CD81" s="116"/>
      <c r="CE81" s="169"/>
      <c r="CF81" s="169"/>
      <c r="CG81" s="169"/>
      <c r="CH81" s="169"/>
      <c r="CI81" s="169"/>
      <c r="CJ81" s="169"/>
      <c r="CK81" s="169"/>
      <c r="CL81" s="169"/>
      <c r="CM81" s="169"/>
      <c r="CN81" s="170"/>
    </row>
    <row r="82" spans="23:92" x14ac:dyDescent="0.25">
      <c r="W82" s="171" t="s">
        <v>780</v>
      </c>
      <c r="X82" s="163"/>
      <c r="Y82" s="163"/>
      <c r="Z82" s="163"/>
      <c r="AA82" s="163"/>
      <c r="AB82" s="163"/>
      <c r="AC82" s="163"/>
      <c r="AD82" s="163"/>
      <c r="AE82" s="113"/>
      <c r="AF82" s="171" t="s">
        <v>782</v>
      </c>
      <c r="AG82" s="163"/>
      <c r="AH82" s="163"/>
      <c r="AI82" s="163"/>
      <c r="AJ82" s="163"/>
      <c r="AK82" s="163"/>
      <c r="AL82" s="163"/>
      <c r="AM82" s="163"/>
      <c r="AN82" s="163"/>
      <c r="AO82" s="163"/>
      <c r="AP82" s="113"/>
      <c r="BU82" s="171" t="s">
        <v>787</v>
      </c>
      <c r="BV82" s="163"/>
      <c r="BW82" s="163"/>
      <c r="BX82" s="163"/>
      <c r="BY82" s="163"/>
      <c r="BZ82" s="163"/>
      <c r="CA82" s="163"/>
      <c r="CB82" s="163"/>
      <c r="CC82" s="113"/>
      <c r="CD82" s="171" t="s">
        <v>801</v>
      </c>
      <c r="CE82" s="163"/>
      <c r="CF82" s="163"/>
      <c r="CG82" s="163"/>
      <c r="CH82" s="163"/>
      <c r="CI82" s="163"/>
      <c r="CJ82" s="163"/>
      <c r="CK82" s="163"/>
      <c r="CL82" s="163"/>
      <c r="CM82" s="163"/>
      <c r="CN82" s="113"/>
    </row>
    <row r="83" spans="23:92" x14ac:dyDescent="0.25">
      <c r="W83" s="114" t="s">
        <v>740</v>
      </c>
      <c r="X83" s="32"/>
      <c r="Y83" s="32"/>
      <c r="Z83" s="32"/>
      <c r="AA83" s="32"/>
      <c r="AB83" s="32"/>
      <c r="AC83" s="32"/>
      <c r="AD83" s="32"/>
      <c r="AE83" s="115"/>
      <c r="AF83" s="114" t="s">
        <v>740</v>
      </c>
      <c r="AG83" s="32"/>
      <c r="AH83" s="32"/>
      <c r="AI83" s="32"/>
      <c r="AJ83" s="32"/>
      <c r="AK83" s="32"/>
      <c r="AL83" s="32"/>
      <c r="AM83" s="32"/>
      <c r="AN83" s="32"/>
      <c r="AO83" s="32"/>
      <c r="AP83" s="115"/>
      <c r="BU83" s="114" t="s">
        <v>740</v>
      </c>
      <c r="BV83" s="32"/>
      <c r="BW83" s="32"/>
      <c r="BX83" s="32"/>
      <c r="BY83" s="32"/>
      <c r="BZ83" s="32"/>
      <c r="CA83" s="32"/>
      <c r="CB83" s="32"/>
      <c r="CC83" s="115"/>
      <c r="CD83" s="114" t="s">
        <v>740</v>
      </c>
      <c r="CE83" s="32"/>
      <c r="CF83" s="32"/>
      <c r="CG83" s="32"/>
      <c r="CH83" s="32"/>
      <c r="CI83" s="32"/>
      <c r="CJ83" s="32"/>
      <c r="CK83" s="32"/>
      <c r="CL83" s="32"/>
      <c r="CM83" s="32"/>
      <c r="CN83" s="115"/>
    </row>
    <row r="84" spans="23:92" ht="15.75" thickBot="1" x14ac:dyDescent="0.3">
      <c r="W84" s="114"/>
      <c r="X84" s="32"/>
      <c r="Y84" s="32"/>
      <c r="Z84" s="32"/>
      <c r="AA84" s="32"/>
      <c r="AB84" s="32"/>
      <c r="AC84" s="32"/>
      <c r="AD84" s="32"/>
      <c r="AE84" s="115"/>
      <c r="AF84" s="114"/>
      <c r="AG84" s="32"/>
      <c r="AH84" s="32"/>
      <c r="AO84" s="32"/>
      <c r="AP84" s="115"/>
      <c r="BU84" s="114"/>
      <c r="BV84" s="32"/>
      <c r="BW84" s="32"/>
      <c r="BX84" s="32"/>
      <c r="BY84" s="32"/>
      <c r="BZ84" s="32"/>
      <c r="CA84" s="32"/>
      <c r="CB84" s="32"/>
      <c r="CC84" s="115"/>
      <c r="CD84" s="114"/>
      <c r="CE84" s="32"/>
      <c r="CF84" s="32"/>
      <c r="CG84" s="32"/>
      <c r="CH84" s="32"/>
      <c r="CI84" s="32"/>
      <c r="CJ84" s="32"/>
      <c r="CK84" s="32"/>
      <c r="CL84" s="32"/>
      <c r="CM84" s="32"/>
      <c r="CN84" s="115"/>
    </row>
    <row r="85" spans="23:92" x14ac:dyDescent="0.25">
      <c r="W85" s="168" t="s">
        <v>684</v>
      </c>
      <c r="X85" s="127"/>
      <c r="Y85" s="32"/>
      <c r="Z85" s="32"/>
      <c r="AA85" s="32"/>
      <c r="AB85" s="32"/>
      <c r="AC85" s="32"/>
      <c r="AD85" s="32"/>
      <c r="AE85" s="115"/>
      <c r="AF85" s="168" t="s">
        <v>684</v>
      </c>
      <c r="AG85" s="127"/>
      <c r="AH85" s="32"/>
      <c r="AO85" s="32"/>
      <c r="AP85" s="115"/>
      <c r="BU85" s="165" t="s">
        <v>684</v>
      </c>
      <c r="BV85" s="128"/>
      <c r="BW85" s="32"/>
      <c r="BX85" s="32"/>
      <c r="BY85" s="32"/>
      <c r="BZ85" s="32"/>
      <c r="CA85" s="32"/>
      <c r="CB85" s="32"/>
      <c r="CC85" s="115"/>
      <c r="CD85" s="165" t="s">
        <v>684</v>
      </c>
      <c r="CE85" s="128"/>
      <c r="CF85" s="32"/>
      <c r="CG85" s="32"/>
      <c r="CH85" s="32"/>
      <c r="CI85" s="32"/>
      <c r="CJ85" s="32"/>
      <c r="CK85" s="32"/>
      <c r="CL85" s="32"/>
      <c r="CM85" s="32"/>
      <c r="CN85" s="115"/>
    </row>
    <row r="86" spans="23:92" x14ac:dyDescent="0.25">
      <c r="W86" s="166" t="s">
        <v>685</v>
      </c>
      <c r="X86" s="125">
        <v>0.44178629757902155</v>
      </c>
      <c r="Y86" s="32"/>
      <c r="Z86" s="32"/>
      <c r="AA86" s="32"/>
      <c r="AB86" s="32"/>
      <c r="AC86" s="32"/>
      <c r="AD86" s="32"/>
      <c r="AE86" s="115"/>
      <c r="AF86" s="166" t="s">
        <v>685</v>
      </c>
      <c r="AG86" s="125">
        <v>0.68802635218478281</v>
      </c>
      <c r="AH86" s="32"/>
      <c r="AO86" s="32"/>
      <c r="AP86" s="115"/>
      <c r="BU86" s="166" t="s">
        <v>685</v>
      </c>
      <c r="BV86" s="125">
        <v>0.13384068966630361</v>
      </c>
      <c r="BW86" s="32"/>
      <c r="BX86" s="32"/>
      <c r="BY86" s="32"/>
      <c r="BZ86" s="32"/>
      <c r="CA86" s="32"/>
      <c r="CB86" s="32"/>
      <c r="CC86" s="115"/>
      <c r="CD86" s="166" t="s">
        <v>685</v>
      </c>
      <c r="CE86" s="125">
        <v>0.20169535054996188</v>
      </c>
      <c r="CF86" s="32"/>
      <c r="CG86" s="32"/>
      <c r="CH86" s="32"/>
      <c r="CI86" s="32"/>
      <c r="CJ86" s="32"/>
      <c r="CK86" s="32"/>
      <c r="CL86" s="32"/>
      <c r="CM86" s="32"/>
      <c r="CN86" s="115"/>
    </row>
    <row r="87" spans="23:92" x14ac:dyDescent="0.25">
      <c r="W87" s="166" t="s">
        <v>686</v>
      </c>
      <c r="X87" s="125">
        <v>0.19517513272857978</v>
      </c>
      <c r="Y87" s="32"/>
      <c r="Z87" s="32"/>
      <c r="AA87" s="32"/>
      <c r="AB87" s="32"/>
      <c r="AC87" s="32"/>
      <c r="AD87" s="32"/>
      <c r="AE87" s="115"/>
      <c r="AF87" s="166" t="s">
        <v>686</v>
      </c>
      <c r="AG87" s="125">
        <v>0.47338026130069877</v>
      </c>
      <c r="AH87" s="32"/>
      <c r="AO87" s="32"/>
      <c r="AP87" s="115"/>
      <c r="BU87" s="166" t="s">
        <v>686</v>
      </c>
      <c r="BV87" s="125">
        <v>1.7913330210351786E-2</v>
      </c>
      <c r="BW87" s="32"/>
      <c r="BX87" s="32"/>
      <c r="BY87" s="32"/>
      <c r="BZ87" s="32"/>
      <c r="CA87" s="32"/>
      <c r="CB87" s="32"/>
      <c r="CC87" s="115"/>
      <c r="CD87" s="166" t="s">
        <v>686</v>
      </c>
      <c r="CE87" s="125">
        <v>4.068101443347201E-2</v>
      </c>
      <c r="CF87" s="32"/>
      <c r="CG87" s="32"/>
      <c r="CH87" s="32"/>
      <c r="CI87" s="32"/>
      <c r="CJ87" s="32"/>
      <c r="CK87" s="32"/>
      <c r="CL87" s="32"/>
      <c r="CM87" s="32"/>
      <c r="CN87" s="115"/>
    </row>
    <row r="88" spans="23:92" x14ac:dyDescent="0.25">
      <c r="W88" s="166" t="s">
        <v>687</v>
      </c>
      <c r="X88" s="125">
        <v>8.020015168980546E-2</v>
      </c>
      <c r="Y88" s="32"/>
      <c r="Z88" s="32"/>
      <c r="AA88" s="32"/>
      <c r="AB88" s="32"/>
      <c r="AC88" s="32"/>
      <c r="AD88" s="32"/>
      <c r="AE88" s="115"/>
      <c r="AF88" s="166" t="s">
        <v>687</v>
      </c>
      <c r="AG88" s="125">
        <v>0.39814887005794147</v>
      </c>
      <c r="AH88" s="32"/>
      <c r="AI88" s="32"/>
      <c r="AJ88" s="32"/>
      <c r="AK88" s="32"/>
      <c r="AL88" s="32"/>
      <c r="AM88" s="32"/>
      <c r="AN88" s="32"/>
      <c r="AO88" s="32"/>
      <c r="AP88" s="115"/>
      <c r="BU88" s="166" t="s">
        <v>687</v>
      </c>
      <c r="BV88" s="125">
        <v>-0.12238476547388367</v>
      </c>
      <c r="BW88" s="32"/>
      <c r="BX88" s="32"/>
      <c r="BY88" s="32"/>
      <c r="BZ88" s="32"/>
      <c r="CA88" s="32"/>
      <c r="CB88" s="32"/>
      <c r="CC88" s="115"/>
      <c r="CD88" s="166" t="s">
        <v>687</v>
      </c>
      <c r="CE88" s="125">
        <v>-9.6364554933174848E-2</v>
      </c>
      <c r="CF88" s="32"/>
      <c r="CG88" s="32"/>
      <c r="CH88" s="32"/>
      <c r="CI88" s="32"/>
      <c r="CJ88" s="32"/>
      <c r="CK88" s="32"/>
      <c r="CL88" s="32"/>
      <c r="CM88" s="32"/>
      <c r="CN88" s="115"/>
    </row>
    <row r="89" spans="23:92" x14ac:dyDescent="0.25">
      <c r="W89" s="166" t="s">
        <v>688</v>
      </c>
      <c r="X89" s="125">
        <v>1.2490882591692052</v>
      </c>
      <c r="Y89" s="32"/>
      <c r="Z89" s="32"/>
      <c r="AA89" s="32"/>
      <c r="AB89" s="32"/>
      <c r="AC89" s="32"/>
      <c r="AD89" s="32"/>
      <c r="AE89" s="115"/>
      <c r="AF89" s="166" t="s">
        <v>688</v>
      </c>
      <c r="AG89" s="125">
        <v>1.0103945605265312</v>
      </c>
      <c r="AH89" s="32"/>
      <c r="AI89" s="32"/>
      <c r="AJ89" s="32"/>
      <c r="AK89" s="32"/>
      <c r="AL89" s="32"/>
      <c r="AM89" s="32"/>
      <c r="AN89" s="32"/>
      <c r="AO89" s="32"/>
      <c r="AP89" s="115"/>
      <c r="BU89" s="166" t="s">
        <v>688</v>
      </c>
      <c r="BV89" s="125">
        <v>0.14595115780263221</v>
      </c>
      <c r="BW89" s="32"/>
      <c r="BX89" s="32"/>
      <c r="BY89" s="32"/>
      <c r="BZ89" s="32"/>
      <c r="CA89" s="32"/>
      <c r="CB89" s="32"/>
      <c r="CC89" s="115"/>
      <c r="CD89" s="166" t="s">
        <v>688</v>
      </c>
      <c r="CE89" s="125">
        <v>0.14424944675137141</v>
      </c>
      <c r="CF89" s="32"/>
      <c r="CG89" s="32"/>
      <c r="CH89" s="32"/>
      <c r="CI89" s="32"/>
      <c r="CJ89" s="32"/>
      <c r="CK89" s="32"/>
      <c r="CL89" s="32"/>
      <c r="CM89" s="32"/>
      <c r="CN89" s="115"/>
    </row>
    <row r="90" spans="23:92" ht="15.75" thickBot="1" x14ac:dyDescent="0.3">
      <c r="W90" s="167" t="s">
        <v>689</v>
      </c>
      <c r="X90" s="126">
        <v>9</v>
      </c>
      <c r="Y90" s="32"/>
      <c r="Z90" s="32"/>
      <c r="AA90" s="32"/>
      <c r="AB90" s="32"/>
      <c r="AC90" s="32"/>
      <c r="AD90" s="32"/>
      <c r="AE90" s="115"/>
      <c r="AF90" s="167" t="s">
        <v>689</v>
      </c>
      <c r="AG90" s="126">
        <v>9</v>
      </c>
      <c r="AH90" s="32"/>
      <c r="AI90" s="32"/>
      <c r="AJ90" s="32"/>
      <c r="AK90" s="32"/>
      <c r="AL90" s="32"/>
      <c r="AM90" s="32"/>
      <c r="AN90" s="32"/>
      <c r="AO90" s="32"/>
      <c r="AP90" s="115"/>
      <c r="BU90" s="167" t="s">
        <v>689</v>
      </c>
      <c r="BV90" s="126">
        <v>9</v>
      </c>
      <c r="BW90" s="32"/>
      <c r="BX90" s="32"/>
      <c r="BY90" s="32"/>
      <c r="BZ90" s="32"/>
      <c r="CA90" s="32"/>
      <c r="CB90" s="32"/>
      <c r="CC90" s="115"/>
      <c r="CD90" s="167" t="s">
        <v>689</v>
      </c>
      <c r="CE90" s="126">
        <v>9</v>
      </c>
      <c r="CF90" s="32"/>
      <c r="CG90" s="32"/>
      <c r="CH90" s="32"/>
      <c r="CI90" s="32"/>
      <c r="CJ90" s="32"/>
      <c r="CK90" s="32"/>
      <c r="CL90" s="32"/>
      <c r="CM90" s="32"/>
      <c r="CN90" s="115"/>
    </row>
    <row r="91" spans="23:92" x14ac:dyDescent="0.25">
      <c r="W91" s="114"/>
      <c r="X91" s="32"/>
      <c r="Y91" s="32"/>
      <c r="Z91" s="32"/>
      <c r="AA91" s="32"/>
      <c r="AB91" s="32"/>
      <c r="AC91" s="32"/>
      <c r="AD91" s="32"/>
      <c r="AE91" s="115"/>
      <c r="AF91" s="114"/>
      <c r="AG91" s="32"/>
      <c r="AH91" s="32"/>
      <c r="AI91" s="32"/>
      <c r="AJ91" s="32"/>
      <c r="AK91" s="32"/>
      <c r="AL91" s="32"/>
      <c r="AM91" s="32"/>
      <c r="AN91" s="32"/>
      <c r="AO91" s="32"/>
      <c r="AP91" s="115"/>
      <c r="BU91" s="114"/>
      <c r="BV91" s="32"/>
      <c r="BW91" s="32"/>
      <c r="BX91" s="32"/>
      <c r="BY91" s="32"/>
      <c r="BZ91" s="32"/>
      <c r="CA91" s="32"/>
      <c r="CB91" s="32"/>
      <c r="CC91" s="115"/>
      <c r="CD91" s="114"/>
      <c r="CE91" s="32"/>
      <c r="CF91" s="32"/>
      <c r="CG91" s="32"/>
      <c r="CH91" s="32"/>
      <c r="CI91" s="32"/>
      <c r="CJ91" s="32"/>
      <c r="CK91" s="32"/>
      <c r="CL91" s="32"/>
      <c r="CM91" s="32"/>
      <c r="CN91" s="115"/>
    </row>
    <row r="92" spans="23:92" ht="15.75" thickBot="1" x14ac:dyDescent="0.3">
      <c r="W92" s="114" t="s">
        <v>690</v>
      </c>
      <c r="X92" s="32"/>
      <c r="Y92" s="32"/>
      <c r="Z92" s="32"/>
      <c r="AA92" s="32"/>
      <c r="AB92" s="32"/>
      <c r="AC92" s="32"/>
      <c r="AD92" s="32"/>
      <c r="AE92" s="115"/>
      <c r="AF92" s="114" t="s">
        <v>690</v>
      </c>
      <c r="AG92" s="32"/>
      <c r="AH92" s="32"/>
      <c r="AI92" s="32"/>
      <c r="AJ92" s="32"/>
      <c r="AK92" s="32"/>
      <c r="AL92" s="32"/>
      <c r="AM92" s="32"/>
      <c r="AN92" s="32"/>
      <c r="AO92" s="32"/>
      <c r="AP92" s="115"/>
      <c r="BU92" s="114" t="s">
        <v>690</v>
      </c>
      <c r="BV92" s="32"/>
      <c r="BW92" s="32"/>
      <c r="BX92" s="32"/>
      <c r="BY92" s="32"/>
      <c r="BZ92" s="32"/>
      <c r="CA92" s="32"/>
      <c r="CB92" s="32"/>
      <c r="CC92" s="115"/>
      <c r="CD92" s="114" t="s">
        <v>690</v>
      </c>
      <c r="CE92" s="32"/>
      <c r="CF92" s="32"/>
      <c r="CG92" s="32"/>
      <c r="CH92" s="32"/>
      <c r="CI92" s="32"/>
      <c r="CJ92" s="32"/>
      <c r="CK92" s="32"/>
      <c r="CL92" s="32"/>
      <c r="CM92" s="32"/>
      <c r="CN92" s="115"/>
    </row>
    <row r="93" spans="23:92" x14ac:dyDescent="0.25">
      <c r="W93" s="168"/>
      <c r="X93" s="127" t="s">
        <v>695</v>
      </c>
      <c r="Y93" s="127" t="s">
        <v>696</v>
      </c>
      <c r="Z93" s="127" t="s">
        <v>697</v>
      </c>
      <c r="AA93" s="127" t="s">
        <v>698</v>
      </c>
      <c r="AB93" s="127" t="s">
        <v>699</v>
      </c>
      <c r="AC93" s="32"/>
      <c r="AD93" s="32"/>
      <c r="AE93" s="115"/>
      <c r="AF93" s="168"/>
      <c r="AG93" s="127" t="s">
        <v>695</v>
      </c>
      <c r="AH93" s="127" t="s">
        <v>696</v>
      </c>
      <c r="AI93" s="127" t="s">
        <v>697</v>
      </c>
      <c r="AJ93" s="127" t="s">
        <v>698</v>
      </c>
      <c r="AK93" s="127" t="s">
        <v>699</v>
      </c>
      <c r="AL93" s="32"/>
      <c r="AM93" s="32"/>
      <c r="AN93" s="32"/>
      <c r="AO93" s="32"/>
      <c r="AP93" s="115"/>
      <c r="BU93" s="168"/>
      <c r="BV93" s="127" t="s">
        <v>695</v>
      </c>
      <c r="BW93" s="127" t="s">
        <v>696</v>
      </c>
      <c r="BX93" s="127" t="s">
        <v>697</v>
      </c>
      <c r="BY93" s="127" t="s">
        <v>698</v>
      </c>
      <c r="BZ93" s="127" t="s">
        <v>699</v>
      </c>
      <c r="CA93" s="32"/>
      <c r="CB93" s="32"/>
      <c r="CC93" s="115"/>
      <c r="CD93" s="168"/>
      <c r="CE93" s="127" t="s">
        <v>695</v>
      </c>
      <c r="CF93" s="127" t="s">
        <v>696</v>
      </c>
      <c r="CG93" s="127" t="s">
        <v>697</v>
      </c>
      <c r="CH93" s="127" t="s">
        <v>698</v>
      </c>
      <c r="CI93" s="127" t="s">
        <v>699</v>
      </c>
      <c r="CJ93" s="32"/>
      <c r="CK93" s="32"/>
      <c r="CL93" s="32"/>
      <c r="CM93" s="32"/>
      <c r="CN93" s="115"/>
    </row>
    <row r="94" spans="23:92" x14ac:dyDescent="0.25">
      <c r="W94" s="166" t="s">
        <v>691</v>
      </c>
      <c r="X94" s="125">
        <v>1</v>
      </c>
      <c r="Y94" s="125">
        <v>2.6485452011950663</v>
      </c>
      <c r="Z94" s="125">
        <v>2.6485452011950663</v>
      </c>
      <c r="AA94" s="125">
        <v>1.6975443784831648</v>
      </c>
      <c r="AB94" s="125">
        <v>0.23382982637588984</v>
      </c>
      <c r="AC94" s="32"/>
      <c r="AD94" s="32"/>
      <c r="AE94" s="115"/>
      <c r="AF94" s="166" t="s">
        <v>691</v>
      </c>
      <c r="AG94" s="125">
        <v>1</v>
      </c>
      <c r="AH94" s="125">
        <v>6.4238153799643403</v>
      </c>
      <c r="AI94" s="125">
        <v>6.4238153799643403</v>
      </c>
      <c r="AJ94" s="125">
        <v>6.2923236361958432</v>
      </c>
      <c r="AK94" s="129">
        <v>4.0488576176192462E-2</v>
      </c>
      <c r="AL94" s="32"/>
      <c r="AM94" s="32"/>
      <c r="AN94" s="32"/>
      <c r="AO94" s="32"/>
      <c r="AP94" s="115"/>
      <c r="BU94" s="166" t="s">
        <v>691</v>
      </c>
      <c r="BV94" s="125">
        <v>1</v>
      </c>
      <c r="BW94" s="125">
        <v>2.7198167524981331E-3</v>
      </c>
      <c r="BX94" s="125">
        <v>2.7198167524981331E-3</v>
      </c>
      <c r="BY94" s="125">
        <v>0.12768049432879514</v>
      </c>
      <c r="BZ94" s="177">
        <v>0.73137942388395583</v>
      </c>
      <c r="CA94" s="32"/>
      <c r="CB94" s="32"/>
      <c r="CC94" s="115"/>
      <c r="CD94" s="166" t="s">
        <v>691</v>
      </c>
      <c r="CE94" s="125">
        <v>1</v>
      </c>
      <c r="CF94" s="125">
        <v>6.1766797834629239E-3</v>
      </c>
      <c r="CG94" s="125">
        <v>6.1766797834629239E-3</v>
      </c>
      <c r="CH94" s="125">
        <v>0.29684297435866358</v>
      </c>
      <c r="CI94" s="177">
        <v>0.60278537714429992</v>
      </c>
      <c r="CJ94" s="32"/>
      <c r="CK94" s="32"/>
      <c r="CL94" s="32"/>
      <c r="CM94" s="32"/>
      <c r="CN94" s="115"/>
    </row>
    <row r="95" spans="23:92" x14ac:dyDescent="0.25">
      <c r="W95" s="166" t="s">
        <v>692</v>
      </c>
      <c r="X95" s="125">
        <v>7</v>
      </c>
      <c r="Y95" s="125">
        <v>10.921550354360489</v>
      </c>
      <c r="Z95" s="125">
        <v>1.5602214791943556</v>
      </c>
      <c r="AA95" s="125"/>
      <c r="AB95" s="125"/>
      <c r="AC95" s="32"/>
      <c r="AD95" s="32"/>
      <c r="AE95" s="115"/>
      <c r="AF95" s="166" t="s">
        <v>692</v>
      </c>
      <c r="AG95" s="125">
        <v>7</v>
      </c>
      <c r="AH95" s="125">
        <v>7.1462801755912153</v>
      </c>
      <c r="AI95" s="125">
        <v>1.0208971679416021</v>
      </c>
      <c r="AJ95" s="125"/>
      <c r="AK95" s="125"/>
      <c r="AL95" s="32"/>
      <c r="AM95" s="32"/>
      <c r="AN95" s="32"/>
      <c r="AO95" s="32"/>
      <c r="AP95" s="115"/>
      <c r="BU95" s="166" t="s">
        <v>692</v>
      </c>
      <c r="BV95" s="125">
        <v>7</v>
      </c>
      <c r="BW95" s="125">
        <v>0.14911218324750192</v>
      </c>
      <c r="BX95" s="125">
        <v>2.1301740463928846E-2</v>
      </c>
      <c r="BY95" s="125"/>
      <c r="BZ95" s="125"/>
      <c r="CA95" s="32"/>
      <c r="CB95" s="32"/>
      <c r="CC95" s="115"/>
      <c r="CD95" s="166" t="s">
        <v>692</v>
      </c>
      <c r="CE95" s="125">
        <v>7</v>
      </c>
      <c r="CF95" s="125">
        <v>0.14565532021653713</v>
      </c>
      <c r="CG95" s="125">
        <v>2.0807902888076733E-2</v>
      </c>
      <c r="CH95" s="125"/>
      <c r="CI95" s="125"/>
      <c r="CJ95" s="32"/>
      <c r="CK95" s="32"/>
      <c r="CL95" s="32"/>
      <c r="CM95" s="32"/>
      <c r="CN95" s="115"/>
    </row>
    <row r="96" spans="23:92" ht="15.75" thickBot="1" x14ac:dyDescent="0.3">
      <c r="W96" s="167" t="s">
        <v>693</v>
      </c>
      <c r="X96" s="126">
        <v>8</v>
      </c>
      <c r="Y96" s="126">
        <v>13.570095555555556</v>
      </c>
      <c r="Z96" s="126"/>
      <c r="AA96" s="126"/>
      <c r="AB96" s="126"/>
      <c r="AC96" s="32"/>
      <c r="AD96" s="32"/>
      <c r="AE96" s="115"/>
      <c r="AF96" s="167" t="s">
        <v>693</v>
      </c>
      <c r="AG96" s="126">
        <v>8</v>
      </c>
      <c r="AH96" s="126">
        <v>13.570095555555556</v>
      </c>
      <c r="AI96" s="126"/>
      <c r="AJ96" s="126"/>
      <c r="AK96" s="126"/>
      <c r="AL96" s="32"/>
      <c r="AM96" s="32"/>
      <c r="AN96" s="32"/>
      <c r="AO96" s="32"/>
      <c r="AP96" s="115"/>
      <c r="BU96" s="167" t="s">
        <v>693</v>
      </c>
      <c r="BV96" s="126">
        <v>8</v>
      </c>
      <c r="BW96" s="126">
        <v>0.15183200000000005</v>
      </c>
      <c r="BX96" s="126"/>
      <c r="BY96" s="126"/>
      <c r="BZ96" s="126"/>
      <c r="CA96" s="32"/>
      <c r="CB96" s="32"/>
      <c r="CC96" s="115"/>
      <c r="CD96" s="167" t="s">
        <v>693</v>
      </c>
      <c r="CE96" s="126">
        <v>8</v>
      </c>
      <c r="CF96" s="126">
        <v>0.15183200000000005</v>
      </c>
      <c r="CG96" s="126"/>
      <c r="CH96" s="126"/>
      <c r="CI96" s="126"/>
      <c r="CJ96" s="32"/>
      <c r="CK96" s="32"/>
      <c r="CL96" s="32"/>
      <c r="CM96" s="32"/>
      <c r="CN96" s="115"/>
    </row>
    <row r="97" spans="23:92" ht="15.75" thickBot="1" x14ac:dyDescent="0.3">
      <c r="W97" s="114"/>
      <c r="X97" s="32"/>
      <c r="Y97" s="32"/>
      <c r="Z97" s="32"/>
      <c r="AA97" s="32"/>
      <c r="AB97" s="32"/>
      <c r="AC97" s="32"/>
      <c r="AD97" s="32"/>
      <c r="AE97" s="115"/>
      <c r="AF97" s="114"/>
      <c r="AG97" s="32"/>
      <c r="AH97" s="32"/>
      <c r="AI97" s="32"/>
      <c r="AJ97" s="32"/>
      <c r="AK97" s="32"/>
      <c r="AL97" s="32"/>
      <c r="AM97" s="32"/>
      <c r="AN97" s="32"/>
      <c r="AO97" s="32"/>
      <c r="AP97" s="115"/>
      <c r="BU97" s="114"/>
      <c r="BV97" s="32"/>
      <c r="BW97" s="32"/>
      <c r="BX97" s="32"/>
      <c r="BY97" s="32"/>
      <c r="BZ97" s="32"/>
      <c r="CA97" s="32"/>
      <c r="CB97" s="32"/>
      <c r="CC97" s="115"/>
      <c r="CD97" s="114"/>
      <c r="CE97" s="32"/>
      <c r="CF97" s="32"/>
      <c r="CG97" s="32"/>
      <c r="CH97" s="32"/>
      <c r="CI97" s="32"/>
      <c r="CJ97" s="32"/>
      <c r="CK97" s="32"/>
      <c r="CL97" s="32"/>
      <c r="CM97" s="32"/>
      <c r="CN97" s="115"/>
    </row>
    <row r="98" spans="23:92" x14ac:dyDescent="0.25">
      <c r="W98" s="168"/>
      <c r="X98" s="127" t="s">
        <v>700</v>
      </c>
      <c r="Y98" s="127" t="s">
        <v>688</v>
      </c>
      <c r="Z98" s="127" t="s">
        <v>701</v>
      </c>
      <c r="AA98" s="127" t="s">
        <v>702</v>
      </c>
      <c r="AB98" s="127" t="s">
        <v>703</v>
      </c>
      <c r="AC98" s="127" t="s">
        <v>704</v>
      </c>
      <c r="AD98" s="127" t="s">
        <v>705</v>
      </c>
      <c r="AE98" s="191" t="s">
        <v>706</v>
      </c>
      <c r="AF98" s="168"/>
      <c r="AG98" s="127" t="s">
        <v>700</v>
      </c>
      <c r="AH98" s="127" t="s">
        <v>688</v>
      </c>
      <c r="AI98" s="127" t="s">
        <v>701</v>
      </c>
      <c r="AJ98" s="127" t="s">
        <v>702</v>
      </c>
      <c r="AK98" s="127" t="s">
        <v>703</v>
      </c>
      <c r="AL98" s="127" t="s">
        <v>704</v>
      </c>
      <c r="AM98" s="127" t="s">
        <v>705</v>
      </c>
      <c r="AN98" s="127" t="s">
        <v>706</v>
      </c>
      <c r="AO98" s="32"/>
      <c r="AP98" s="115"/>
      <c r="BU98" s="168"/>
      <c r="BV98" s="127" t="s">
        <v>700</v>
      </c>
      <c r="BW98" s="127" t="s">
        <v>688</v>
      </c>
      <c r="BX98" s="127" t="s">
        <v>701</v>
      </c>
      <c r="BY98" s="127" t="s">
        <v>702</v>
      </c>
      <c r="BZ98" s="127" t="s">
        <v>703</v>
      </c>
      <c r="CA98" s="127" t="s">
        <v>704</v>
      </c>
      <c r="CB98" s="127" t="s">
        <v>705</v>
      </c>
      <c r="CC98" s="191" t="s">
        <v>706</v>
      </c>
      <c r="CD98" s="168"/>
      <c r="CE98" s="127" t="s">
        <v>700</v>
      </c>
      <c r="CF98" s="127" t="s">
        <v>688</v>
      </c>
      <c r="CG98" s="127" t="s">
        <v>701</v>
      </c>
      <c r="CH98" s="127" t="s">
        <v>702</v>
      </c>
      <c r="CI98" s="127" t="s">
        <v>703</v>
      </c>
      <c r="CJ98" s="127" t="s">
        <v>704</v>
      </c>
      <c r="CK98" s="127" t="s">
        <v>705</v>
      </c>
      <c r="CL98" s="127" t="s">
        <v>706</v>
      </c>
      <c r="CM98" s="32"/>
      <c r="CN98" s="115"/>
    </row>
    <row r="99" spans="23:92" x14ac:dyDescent="0.25">
      <c r="W99" s="166" t="s">
        <v>694</v>
      </c>
      <c r="X99" s="125">
        <v>-2.9264197129632401</v>
      </c>
      <c r="Y99" s="125">
        <v>0.69230414155292885</v>
      </c>
      <c r="Z99" s="125">
        <v>-4.2270723765986684</v>
      </c>
      <c r="AA99" s="125">
        <v>3.9022530808472929E-3</v>
      </c>
      <c r="AB99" s="125">
        <v>-4.5634588755574201</v>
      </c>
      <c r="AC99" s="125">
        <v>-1.2893805503690603</v>
      </c>
      <c r="AD99" s="125">
        <v>-5.3491264930142872</v>
      </c>
      <c r="AE99" s="192">
        <v>-0.50371293291219299</v>
      </c>
      <c r="AF99" s="166" t="s">
        <v>694</v>
      </c>
      <c r="AG99" s="125">
        <v>-1.2959809827816331</v>
      </c>
      <c r="AH99" s="125">
        <v>0.49495358463564998</v>
      </c>
      <c r="AI99" s="125">
        <v>-2.6183889217322127</v>
      </c>
      <c r="AJ99" s="129">
        <v>3.4489901671781148E-2</v>
      </c>
      <c r="AK99" s="125">
        <v>-2.4663602324238729</v>
      </c>
      <c r="AL99" s="125">
        <v>-0.12560173313939305</v>
      </c>
      <c r="AM99" s="125">
        <v>-3.0280627851778448</v>
      </c>
      <c r="AN99" s="125">
        <v>0.43610081961457836</v>
      </c>
      <c r="AO99" s="32"/>
      <c r="AP99" s="115"/>
      <c r="BU99" s="166" t="s">
        <v>694</v>
      </c>
      <c r="BV99" s="125">
        <v>-2.9227709196512706E-2</v>
      </c>
      <c r="BW99" s="125">
        <v>0.1000221912081974</v>
      </c>
      <c r="BX99" s="125">
        <v>-0.29221224653711969</v>
      </c>
      <c r="BY99" s="177">
        <v>0.77859521567245205</v>
      </c>
      <c r="BZ99" s="125">
        <v>-0.26574260822486689</v>
      </c>
      <c r="CA99" s="125">
        <v>0.2072871898318415</v>
      </c>
      <c r="CB99" s="125">
        <v>-0.37925369669399694</v>
      </c>
      <c r="CC99" s="192">
        <v>0.32079827830097157</v>
      </c>
      <c r="CD99" s="166" t="s">
        <v>694</v>
      </c>
      <c r="CE99" s="125">
        <v>-3.567733994921838E-2</v>
      </c>
      <c r="CF99" s="125">
        <v>8.4227399416024501E-2</v>
      </c>
      <c r="CG99" s="125">
        <v>-0.42358353928271308</v>
      </c>
      <c r="CH99" s="177">
        <v>0.68458103376584811</v>
      </c>
      <c r="CI99" s="125">
        <v>-0.23484349125694187</v>
      </c>
      <c r="CJ99" s="125">
        <v>0.16348881135850513</v>
      </c>
      <c r="CK99" s="125">
        <v>-0.33042971738486493</v>
      </c>
      <c r="CL99" s="125">
        <v>0.25907503748642813</v>
      </c>
      <c r="CM99" s="32"/>
      <c r="CN99" s="115"/>
    </row>
    <row r="100" spans="23:92" ht="15.75" thickBot="1" x14ac:dyDescent="0.3">
      <c r="W100" s="167" t="s">
        <v>738</v>
      </c>
      <c r="X100" s="126">
        <v>2.0827534060799339E-2</v>
      </c>
      <c r="Y100" s="126">
        <v>1.5985539022606982E-2</v>
      </c>
      <c r="Z100" s="126">
        <v>1.3028984528669778</v>
      </c>
      <c r="AA100" s="126">
        <v>0.23382982637589014</v>
      </c>
      <c r="AB100" s="126">
        <v>-1.6972259186839957E-2</v>
      </c>
      <c r="AC100" s="126">
        <v>5.8627327308438636E-2</v>
      </c>
      <c r="AD100" s="126">
        <v>-3.5113592747958347E-2</v>
      </c>
      <c r="AE100" s="193">
        <v>7.6768660869557026E-2</v>
      </c>
      <c r="AF100" s="167" t="s">
        <v>781</v>
      </c>
      <c r="AG100" s="126">
        <v>-0.7387379244826151</v>
      </c>
      <c r="AH100" s="126">
        <v>0.29449970833034833</v>
      </c>
      <c r="AI100" s="126">
        <v>-2.5084504452342364</v>
      </c>
      <c r="AJ100" s="133">
        <v>4.0488576176192483E-2</v>
      </c>
      <c r="AK100" s="126">
        <v>-1.4351190768875584</v>
      </c>
      <c r="AL100" s="126">
        <v>-4.2356772077671745E-2</v>
      </c>
      <c r="AM100" s="126">
        <v>-1.7693347348592614</v>
      </c>
      <c r="AN100" s="126">
        <v>0.29185888589403119</v>
      </c>
      <c r="AO100" s="169"/>
      <c r="AP100" s="170"/>
      <c r="BU100" s="167" t="s">
        <v>733</v>
      </c>
      <c r="BV100" s="126">
        <v>-1.4157232660115572E-2</v>
      </c>
      <c r="BW100" s="126">
        <v>3.962014782727246E-2</v>
      </c>
      <c r="BX100" s="126">
        <v>-0.35732407465603816</v>
      </c>
      <c r="BY100" s="175">
        <v>0.73137942388395683</v>
      </c>
      <c r="BZ100" s="126">
        <v>-0.10784399506417522</v>
      </c>
      <c r="CA100" s="126">
        <v>7.9529529743944061E-2</v>
      </c>
      <c r="CB100" s="126">
        <v>-0.15280727822021303</v>
      </c>
      <c r="CC100" s="193">
        <v>0.1244928128999819</v>
      </c>
      <c r="CD100" s="167" t="s">
        <v>399</v>
      </c>
      <c r="CE100" s="126">
        <v>-1.8619375112176883E-2</v>
      </c>
      <c r="CF100" s="126">
        <v>3.4174464193877992E-2</v>
      </c>
      <c r="CG100" s="126">
        <v>-0.54483297840591616</v>
      </c>
      <c r="CH100" s="175">
        <v>0.60278537714430125</v>
      </c>
      <c r="CI100" s="126">
        <v>-9.942914193021006E-2</v>
      </c>
      <c r="CJ100" s="126">
        <v>6.2190391705856288E-2</v>
      </c>
      <c r="CK100" s="126">
        <v>-0.13821234175455543</v>
      </c>
      <c r="CL100" s="126">
        <v>0.10097359153020168</v>
      </c>
      <c r="CM100" s="169"/>
      <c r="CN100" s="170"/>
    </row>
    <row r="101" spans="23:92" x14ac:dyDescent="0.25">
      <c r="W101" s="171" t="s">
        <v>783</v>
      </c>
      <c r="X101" s="163"/>
      <c r="Y101" s="163"/>
      <c r="Z101" s="163"/>
      <c r="AA101" s="163"/>
      <c r="AB101" s="163"/>
      <c r="AC101" s="163"/>
      <c r="AD101" s="163"/>
      <c r="AE101" s="113"/>
      <c r="AF101" s="171" t="s">
        <v>782</v>
      </c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13"/>
      <c r="BU101" s="171" t="s">
        <v>779</v>
      </c>
      <c r="BV101" s="163"/>
      <c r="BW101" s="163"/>
      <c r="BX101" s="163"/>
      <c r="BY101" s="163"/>
      <c r="BZ101" s="163"/>
      <c r="CA101" s="163"/>
      <c r="CB101" s="163"/>
      <c r="CC101" s="113"/>
      <c r="CD101" s="176" t="s">
        <v>802</v>
      </c>
    </row>
    <row r="102" spans="23:92" x14ac:dyDescent="0.25">
      <c r="W102" s="114" t="s">
        <v>740</v>
      </c>
      <c r="X102" s="32"/>
      <c r="AE102" s="115"/>
      <c r="AF102" s="114" t="s">
        <v>740</v>
      </c>
      <c r="AG102" s="32"/>
      <c r="AH102" s="287" t="s">
        <v>744</v>
      </c>
      <c r="AI102" s="287"/>
      <c r="AJ102" s="287"/>
      <c r="AK102" s="287"/>
      <c r="AL102" s="287"/>
      <c r="AM102" s="287"/>
      <c r="AN102" s="32"/>
      <c r="AO102" s="32"/>
      <c r="AP102" s="115"/>
      <c r="BU102" s="114" t="s">
        <v>740</v>
      </c>
      <c r="BV102" s="32"/>
      <c r="BW102" s="32"/>
      <c r="BX102" s="32"/>
      <c r="BY102" s="32"/>
      <c r="BZ102" s="32"/>
      <c r="CA102" s="32"/>
      <c r="CB102" s="32"/>
      <c r="CC102" s="115"/>
      <c r="CD102" t="s">
        <v>740</v>
      </c>
    </row>
    <row r="103" spans="23:92" ht="15.75" thickBot="1" x14ac:dyDescent="0.3">
      <c r="W103" s="114"/>
      <c r="X103" s="32"/>
      <c r="AE103" s="115"/>
      <c r="AF103" s="114"/>
      <c r="AG103" s="32"/>
      <c r="AH103" s="287"/>
      <c r="AI103" s="287"/>
      <c r="AJ103" s="287"/>
      <c r="AK103" s="287"/>
      <c r="AL103" s="287"/>
      <c r="AM103" s="287"/>
      <c r="AN103" s="32"/>
      <c r="AO103" s="32"/>
      <c r="AP103" s="115"/>
      <c r="BU103" s="114"/>
      <c r="BV103" s="32"/>
      <c r="BW103" s="32"/>
      <c r="BX103" s="32"/>
      <c r="BY103" s="32"/>
      <c r="BZ103" s="32"/>
      <c r="CA103" s="32"/>
      <c r="CB103" s="32"/>
      <c r="CC103" s="115"/>
    </row>
    <row r="104" spans="23:92" x14ac:dyDescent="0.25">
      <c r="W104" s="168" t="s">
        <v>684</v>
      </c>
      <c r="X104" s="127"/>
      <c r="AE104" s="115"/>
      <c r="AF104" s="168" t="s">
        <v>684</v>
      </c>
      <c r="AG104" s="127"/>
      <c r="AH104" s="287"/>
      <c r="AI104" s="287"/>
      <c r="AJ104" s="287"/>
      <c r="AK104" s="287"/>
      <c r="AL104" s="287"/>
      <c r="AM104" s="287"/>
      <c r="AN104" s="32"/>
      <c r="AO104" s="32"/>
      <c r="AP104" s="115"/>
      <c r="BU104" s="165" t="s">
        <v>684</v>
      </c>
      <c r="BV104" s="128"/>
      <c r="BW104" s="32"/>
      <c r="BX104" s="32"/>
      <c r="BY104" s="32"/>
      <c r="BZ104" s="32"/>
      <c r="CA104" s="32"/>
      <c r="CB104" s="32"/>
      <c r="CC104" s="115"/>
      <c r="CD104" s="128" t="s">
        <v>684</v>
      </c>
      <c r="CE104" s="128"/>
    </row>
    <row r="105" spans="23:92" x14ac:dyDescent="0.25">
      <c r="W105" s="166" t="s">
        <v>685</v>
      </c>
      <c r="X105" s="125">
        <v>0.78316320861541389</v>
      </c>
      <c r="AE105" s="115"/>
      <c r="AF105" s="166" t="s">
        <v>685</v>
      </c>
      <c r="AG105" s="125">
        <v>0.68802635218478281</v>
      </c>
      <c r="AH105" s="287"/>
      <c r="AI105" s="287"/>
      <c r="AJ105" s="287"/>
      <c r="AK105" s="287"/>
      <c r="AL105" s="287"/>
      <c r="AM105" s="287"/>
      <c r="AN105" s="32"/>
      <c r="AO105" s="32"/>
      <c r="AP105" s="115"/>
      <c r="BU105" s="166" t="s">
        <v>685</v>
      </c>
      <c r="BV105" s="125">
        <v>0.55073408204507324</v>
      </c>
      <c r="BW105" s="32"/>
      <c r="BX105" s="32"/>
      <c r="BY105" s="32"/>
      <c r="BZ105" s="32"/>
      <c r="CA105" s="32"/>
      <c r="CB105" s="32"/>
      <c r="CC105" s="115"/>
      <c r="CD105" s="125" t="s">
        <v>685</v>
      </c>
      <c r="CE105" s="125">
        <v>0.55339686053266746</v>
      </c>
    </row>
    <row r="106" spans="23:92" x14ac:dyDescent="0.25">
      <c r="W106" s="166" t="s">
        <v>686</v>
      </c>
      <c r="X106" s="125">
        <v>0.61334461132879037</v>
      </c>
      <c r="Y106" s="32"/>
      <c r="Z106" s="32"/>
      <c r="AA106" s="32"/>
      <c r="AB106" s="32"/>
      <c r="AC106" s="32"/>
      <c r="AD106" s="32"/>
      <c r="AE106" s="115"/>
      <c r="AF106" s="166" t="s">
        <v>686</v>
      </c>
      <c r="AG106" s="125">
        <v>0.47338026130069877</v>
      </c>
      <c r="AH106" s="32"/>
      <c r="AI106" s="32"/>
      <c r="AJ106" s="32"/>
      <c r="AK106" s="32"/>
      <c r="AL106" s="32"/>
      <c r="AM106" s="32"/>
      <c r="AN106" s="32"/>
      <c r="AO106" s="32"/>
      <c r="AP106" s="115"/>
      <c r="BU106" s="166" t="s">
        <v>686</v>
      </c>
      <c r="BV106" s="125">
        <v>0.30330802912602944</v>
      </c>
      <c r="BW106" s="32"/>
      <c r="BX106" s="32"/>
      <c r="BY106" s="32"/>
      <c r="BZ106" s="32"/>
      <c r="CA106" s="32"/>
      <c r="CB106" s="32"/>
      <c r="CC106" s="115"/>
      <c r="CD106" s="125" t="s">
        <v>686</v>
      </c>
      <c r="CE106" s="125">
        <v>0.30624808524741259</v>
      </c>
    </row>
    <row r="107" spans="23:92" x14ac:dyDescent="0.25">
      <c r="W107" s="166" t="s">
        <v>687</v>
      </c>
      <c r="X107" s="125">
        <v>0.48445948177172049</v>
      </c>
      <c r="Y107" s="32"/>
      <c r="Z107" s="32"/>
      <c r="AA107" s="32"/>
      <c r="AB107" s="32"/>
      <c r="AC107" s="32"/>
      <c r="AD107" s="32"/>
      <c r="AE107" s="115"/>
      <c r="AF107" s="166" t="s">
        <v>687</v>
      </c>
      <c r="AG107" s="125">
        <v>0.39814887005794147</v>
      </c>
      <c r="AH107" s="32"/>
      <c r="AI107" s="32"/>
      <c r="AJ107" s="32"/>
      <c r="AK107" s="32"/>
      <c r="AL107" s="32"/>
      <c r="AM107" s="32"/>
      <c r="AN107" s="32"/>
      <c r="AO107" s="32"/>
      <c r="AP107" s="115"/>
      <c r="BU107" s="166" t="s">
        <v>687</v>
      </c>
      <c r="BV107" s="125">
        <v>0.20378060471546222</v>
      </c>
      <c r="BW107" s="32"/>
      <c r="BX107" s="32"/>
      <c r="BY107" s="32"/>
      <c r="BZ107" s="32"/>
      <c r="CA107" s="32"/>
      <c r="CB107" s="32"/>
      <c r="CC107" s="115"/>
      <c r="CD107" s="125" t="s">
        <v>687</v>
      </c>
      <c r="CE107" s="125">
        <v>0.20714066885418583</v>
      </c>
    </row>
    <row r="108" spans="23:92" x14ac:dyDescent="0.25">
      <c r="W108" s="166" t="s">
        <v>688</v>
      </c>
      <c r="X108" s="125">
        <v>0.93514264253631274</v>
      </c>
      <c r="Y108" s="32"/>
      <c r="Z108" s="32"/>
      <c r="AA108" s="32"/>
      <c r="AB108" s="32"/>
      <c r="AC108" s="32"/>
      <c r="AD108" s="32"/>
      <c r="AE108" s="115"/>
      <c r="AF108" s="166" t="s">
        <v>688</v>
      </c>
      <c r="AG108" s="125">
        <v>1.0103945605265312</v>
      </c>
      <c r="AH108" s="32"/>
      <c r="AI108" s="32"/>
      <c r="AJ108" s="32"/>
      <c r="AK108" s="32"/>
      <c r="AL108" s="32"/>
      <c r="AM108" s="32"/>
      <c r="AN108" s="32"/>
      <c r="AO108" s="32"/>
      <c r="AP108" s="115"/>
      <c r="BU108" s="166" t="s">
        <v>688</v>
      </c>
      <c r="BV108" s="125">
        <v>0.12292862930621673</v>
      </c>
      <c r="BW108" s="32"/>
      <c r="BX108" s="32"/>
      <c r="BY108" s="32"/>
      <c r="BZ108" s="32"/>
      <c r="CA108" s="32"/>
      <c r="CB108" s="32"/>
      <c r="CC108" s="115"/>
      <c r="CD108" s="125" t="s">
        <v>688</v>
      </c>
      <c r="CE108" s="125">
        <v>0.12266897425924948</v>
      </c>
    </row>
    <row r="109" spans="23:92" ht="15.75" thickBot="1" x14ac:dyDescent="0.3">
      <c r="W109" s="167" t="s">
        <v>689</v>
      </c>
      <c r="X109" s="126">
        <v>9</v>
      </c>
      <c r="Y109" s="32"/>
      <c r="Z109" s="32"/>
      <c r="AA109" s="32"/>
      <c r="AB109" s="32"/>
      <c r="AC109" s="32"/>
      <c r="AD109" s="32"/>
      <c r="AE109" s="115"/>
      <c r="AF109" s="167" t="s">
        <v>689</v>
      </c>
      <c r="AG109" s="126">
        <v>9</v>
      </c>
      <c r="AH109" s="32"/>
      <c r="AI109" s="32"/>
      <c r="AJ109" s="32"/>
      <c r="AK109" s="32"/>
      <c r="AL109" s="32"/>
      <c r="AM109" s="32"/>
      <c r="AN109" s="32"/>
      <c r="AO109" s="32"/>
      <c r="AP109" s="115"/>
      <c r="BU109" s="167" t="s">
        <v>689</v>
      </c>
      <c r="BV109" s="126">
        <v>9</v>
      </c>
      <c r="BW109" s="32"/>
      <c r="BX109" s="32"/>
      <c r="BY109" s="32"/>
      <c r="BZ109" s="32"/>
      <c r="CA109" s="32"/>
      <c r="CB109" s="32"/>
      <c r="CC109" s="115"/>
      <c r="CD109" s="126" t="s">
        <v>689</v>
      </c>
      <c r="CE109" s="126">
        <v>9</v>
      </c>
    </row>
    <row r="110" spans="23:92" x14ac:dyDescent="0.25">
      <c r="W110" s="114"/>
      <c r="X110" s="32"/>
      <c r="Y110" s="32"/>
      <c r="Z110" s="32"/>
      <c r="AA110" s="32"/>
      <c r="AB110" s="32"/>
      <c r="AC110" s="32"/>
      <c r="AD110" s="32"/>
      <c r="AE110" s="115"/>
      <c r="AF110" s="114"/>
      <c r="AG110" s="32"/>
      <c r="AH110" s="32"/>
      <c r="AI110" s="32"/>
      <c r="AJ110" s="32"/>
      <c r="AK110" s="32"/>
      <c r="AL110" s="32"/>
      <c r="AM110" s="32"/>
      <c r="AN110" s="32"/>
      <c r="AO110" s="32"/>
      <c r="AP110" s="115"/>
      <c r="BU110" s="114"/>
      <c r="BV110" s="32"/>
      <c r="BW110" s="32"/>
      <c r="BX110" s="32"/>
      <c r="BY110" s="32"/>
      <c r="BZ110" s="32"/>
      <c r="CA110" s="32"/>
      <c r="CB110" s="32"/>
      <c r="CC110" s="115"/>
    </row>
    <row r="111" spans="23:92" ht="15.75" thickBot="1" x14ac:dyDescent="0.3">
      <c r="W111" s="114" t="s">
        <v>690</v>
      </c>
      <c r="X111" s="32"/>
      <c r="Y111" s="32"/>
      <c r="Z111" s="32"/>
      <c r="AA111" s="32"/>
      <c r="AB111" s="32"/>
      <c r="AC111" s="32"/>
      <c r="AD111" s="32"/>
      <c r="AE111" s="115"/>
      <c r="AF111" s="114" t="s">
        <v>690</v>
      </c>
      <c r="AG111" s="32"/>
      <c r="AH111" s="32"/>
      <c r="AI111" s="32"/>
      <c r="AJ111" s="32"/>
      <c r="AK111" s="32"/>
      <c r="AL111" s="32"/>
      <c r="AM111" s="32"/>
      <c r="AN111" s="32"/>
      <c r="AO111" s="32"/>
      <c r="AP111" s="115"/>
      <c r="BU111" s="114" t="s">
        <v>690</v>
      </c>
      <c r="BV111" s="32"/>
      <c r="BW111" s="32"/>
      <c r="BX111" s="32"/>
      <c r="BY111" s="32"/>
      <c r="BZ111" s="32"/>
      <c r="CA111" s="32"/>
      <c r="CB111" s="32"/>
      <c r="CC111" s="115"/>
      <c r="CD111" t="s">
        <v>690</v>
      </c>
    </row>
    <row r="112" spans="23:92" x14ac:dyDescent="0.25">
      <c r="W112" s="168"/>
      <c r="X112" s="127" t="s">
        <v>695</v>
      </c>
      <c r="Y112" s="127" t="s">
        <v>696</v>
      </c>
      <c r="Z112" s="127" t="s">
        <v>697</v>
      </c>
      <c r="AA112" s="127" t="s">
        <v>698</v>
      </c>
      <c r="AB112" s="127" t="s">
        <v>699</v>
      </c>
      <c r="AC112" s="32"/>
      <c r="AD112" s="32"/>
      <c r="AE112" s="115"/>
      <c r="AF112" s="168"/>
      <c r="AG112" s="127" t="s">
        <v>695</v>
      </c>
      <c r="AH112" s="127" t="s">
        <v>696</v>
      </c>
      <c r="AI112" s="127" t="s">
        <v>697</v>
      </c>
      <c r="AJ112" s="127" t="s">
        <v>698</v>
      </c>
      <c r="AK112" s="127" t="s">
        <v>699</v>
      </c>
      <c r="AL112" s="32"/>
      <c r="AM112" s="32"/>
      <c r="AN112" s="32"/>
      <c r="AO112" s="32"/>
      <c r="AP112" s="115"/>
      <c r="BU112" s="168"/>
      <c r="BV112" s="127" t="s">
        <v>695</v>
      </c>
      <c r="BW112" s="127" t="s">
        <v>696</v>
      </c>
      <c r="BX112" s="127" t="s">
        <v>697</v>
      </c>
      <c r="BY112" s="127" t="s">
        <v>698</v>
      </c>
      <c r="BZ112" s="127" t="s">
        <v>699</v>
      </c>
      <c r="CA112" s="32"/>
      <c r="CB112" s="32"/>
      <c r="CC112" s="115"/>
      <c r="CD112" s="127"/>
      <c r="CE112" s="127" t="s">
        <v>695</v>
      </c>
      <c r="CF112" s="127" t="s">
        <v>696</v>
      </c>
      <c r="CG112" s="127" t="s">
        <v>697</v>
      </c>
      <c r="CH112" s="127" t="s">
        <v>698</v>
      </c>
      <c r="CI112" s="127" t="s">
        <v>699</v>
      </c>
    </row>
    <row r="113" spans="23:90" x14ac:dyDescent="0.25">
      <c r="W113" s="166" t="s">
        <v>691</v>
      </c>
      <c r="X113" s="125">
        <v>2</v>
      </c>
      <c r="Y113" s="125">
        <v>8.3231449842167677</v>
      </c>
      <c r="Z113" s="125">
        <v>4.1615724921083839</v>
      </c>
      <c r="AA113" s="125">
        <v>4.7588469937271043</v>
      </c>
      <c r="AB113" s="129">
        <v>5.7805904553609948E-2</v>
      </c>
      <c r="AC113" s="32"/>
      <c r="AD113" s="32"/>
      <c r="AE113" s="115"/>
      <c r="AF113" s="166" t="s">
        <v>691</v>
      </c>
      <c r="AG113" s="125">
        <v>1</v>
      </c>
      <c r="AH113" s="125">
        <v>6.4238153799643403</v>
      </c>
      <c r="AI113" s="125">
        <v>6.4238153799643403</v>
      </c>
      <c r="AJ113" s="125">
        <v>6.2923236361958432</v>
      </c>
      <c r="AK113" s="129">
        <v>4.0488576176192462E-2</v>
      </c>
      <c r="AL113" s="32"/>
      <c r="AM113" s="32"/>
      <c r="AN113" s="32"/>
      <c r="AO113" s="32"/>
      <c r="AP113" s="115"/>
      <c r="BU113" s="166" t="s">
        <v>691</v>
      </c>
      <c r="BV113" s="125">
        <v>1</v>
      </c>
      <c r="BW113" s="125">
        <v>4.6051864678263318E-2</v>
      </c>
      <c r="BX113" s="125">
        <v>4.6051864678263318E-2</v>
      </c>
      <c r="BY113" s="125">
        <v>3.0474819470343495</v>
      </c>
      <c r="BZ113" s="177">
        <v>0.1243700389338861</v>
      </c>
      <c r="CA113" s="32"/>
      <c r="CB113" s="32"/>
      <c r="CC113" s="115"/>
      <c r="CD113" s="125" t="s">
        <v>691</v>
      </c>
      <c r="CE113" s="125">
        <v>1</v>
      </c>
      <c r="CF113" s="125">
        <v>4.6498259279285165E-2</v>
      </c>
      <c r="CG113" s="125">
        <v>4.6498259279285165E-2</v>
      </c>
      <c r="CH113" s="125">
        <v>3.0900622414806715</v>
      </c>
      <c r="CI113" s="177">
        <v>0.12218390443633577</v>
      </c>
    </row>
    <row r="114" spans="23:90" x14ac:dyDescent="0.25">
      <c r="W114" s="166" t="s">
        <v>692</v>
      </c>
      <c r="X114" s="125">
        <v>6</v>
      </c>
      <c r="Y114" s="125">
        <v>5.2469505713387878</v>
      </c>
      <c r="Z114" s="125">
        <v>0.87449176188979794</v>
      </c>
      <c r="AA114" s="125"/>
      <c r="AB114" s="125"/>
      <c r="AC114" s="32"/>
      <c r="AD114" s="32"/>
      <c r="AE114" s="115"/>
      <c r="AF114" s="166" t="s">
        <v>692</v>
      </c>
      <c r="AG114" s="125">
        <v>7</v>
      </c>
      <c r="AH114" s="125">
        <v>7.1462801755912153</v>
      </c>
      <c r="AI114" s="125">
        <v>1.0208971679416021</v>
      </c>
      <c r="AJ114" s="125"/>
      <c r="AK114" s="125"/>
      <c r="AL114" s="32"/>
      <c r="AM114" s="32"/>
      <c r="AN114" s="32"/>
      <c r="AO114" s="32"/>
      <c r="AP114" s="115"/>
      <c r="BU114" s="166" t="s">
        <v>692</v>
      </c>
      <c r="BV114" s="125">
        <v>7</v>
      </c>
      <c r="BW114" s="125">
        <v>0.10578013532173673</v>
      </c>
      <c r="BX114" s="125">
        <v>1.5111447903105247E-2</v>
      </c>
      <c r="BY114" s="125"/>
      <c r="BZ114" s="125"/>
      <c r="CA114" s="32"/>
      <c r="CB114" s="32"/>
      <c r="CC114" s="115"/>
      <c r="CD114" s="125" t="s">
        <v>692</v>
      </c>
      <c r="CE114" s="125">
        <v>7</v>
      </c>
      <c r="CF114" s="125">
        <v>0.10533374072071489</v>
      </c>
      <c r="CG114" s="125">
        <v>1.5047677245816413E-2</v>
      </c>
      <c r="CH114" s="125"/>
      <c r="CI114" s="125"/>
    </row>
    <row r="115" spans="23:90" ht="15.75" thickBot="1" x14ac:dyDescent="0.3">
      <c r="W115" s="167" t="s">
        <v>693</v>
      </c>
      <c r="X115" s="126">
        <v>8</v>
      </c>
      <c r="Y115" s="126">
        <v>13.570095555555556</v>
      </c>
      <c r="Z115" s="126"/>
      <c r="AA115" s="126"/>
      <c r="AB115" s="126"/>
      <c r="AC115" s="32"/>
      <c r="AD115" s="32"/>
      <c r="AE115" s="115"/>
      <c r="AF115" s="167" t="s">
        <v>693</v>
      </c>
      <c r="AG115" s="126">
        <v>8</v>
      </c>
      <c r="AH115" s="126">
        <v>13.570095555555556</v>
      </c>
      <c r="AI115" s="126"/>
      <c r="AJ115" s="126"/>
      <c r="AK115" s="126"/>
      <c r="AL115" s="32"/>
      <c r="AM115" s="32"/>
      <c r="AN115" s="32"/>
      <c r="AO115" s="32"/>
      <c r="AP115" s="115"/>
      <c r="BU115" s="167" t="s">
        <v>693</v>
      </c>
      <c r="BV115" s="126">
        <v>8</v>
      </c>
      <c r="BW115" s="126">
        <v>0.15183200000000005</v>
      </c>
      <c r="BX115" s="126"/>
      <c r="BY115" s="126"/>
      <c r="BZ115" s="126"/>
      <c r="CA115" s="32"/>
      <c r="CB115" s="32"/>
      <c r="CC115" s="115"/>
      <c r="CD115" s="126" t="s">
        <v>693</v>
      </c>
      <c r="CE115" s="126">
        <v>8</v>
      </c>
      <c r="CF115" s="126">
        <v>0.15183200000000005</v>
      </c>
      <c r="CG115" s="126"/>
      <c r="CH115" s="126"/>
      <c r="CI115" s="126"/>
    </row>
    <row r="116" spans="23:90" ht="15.75" thickBot="1" x14ac:dyDescent="0.3">
      <c r="W116" s="114"/>
      <c r="X116" s="32"/>
      <c r="Y116" s="32"/>
      <c r="Z116" s="32"/>
      <c r="AA116" s="32"/>
      <c r="AB116" s="32"/>
      <c r="AC116" s="32"/>
      <c r="AD116" s="32"/>
      <c r="AE116" s="115"/>
      <c r="AF116" s="114"/>
      <c r="AG116" s="32"/>
      <c r="AH116" s="32"/>
      <c r="AI116" s="32"/>
      <c r="AJ116" s="32"/>
      <c r="AK116" s="32"/>
      <c r="AL116" s="32"/>
      <c r="AM116" s="32"/>
      <c r="AN116" s="32"/>
      <c r="AO116" s="32"/>
      <c r="AP116" s="115"/>
      <c r="BU116" s="114"/>
      <c r="BV116" s="32"/>
      <c r="BW116" s="32"/>
      <c r="BX116" s="32"/>
      <c r="BY116" s="32"/>
      <c r="BZ116" s="32"/>
      <c r="CA116" s="32"/>
      <c r="CB116" s="32"/>
      <c r="CC116" s="115"/>
    </row>
    <row r="117" spans="23:90" x14ac:dyDescent="0.25">
      <c r="W117" s="168"/>
      <c r="X117" s="127" t="s">
        <v>700</v>
      </c>
      <c r="Y117" s="127" t="s">
        <v>688</v>
      </c>
      <c r="Z117" s="127" t="s">
        <v>701</v>
      </c>
      <c r="AA117" s="127" t="s">
        <v>702</v>
      </c>
      <c r="AB117" s="127" t="s">
        <v>703</v>
      </c>
      <c r="AC117" s="127" t="s">
        <v>704</v>
      </c>
      <c r="AD117" s="127" t="s">
        <v>705</v>
      </c>
      <c r="AE117" s="191" t="s">
        <v>706</v>
      </c>
      <c r="AF117" s="168"/>
      <c r="AG117" s="127" t="s">
        <v>700</v>
      </c>
      <c r="AH117" s="127" t="s">
        <v>688</v>
      </c>
      <c r="AI117" s="127" t="s">
        <v>701</v>
      </c>
      <c r="AJ117" s="127" t="s">
        <v>702</v>
      </c>
      <c r="AK117" s="127" t="s">
        <v>703</v>
      </c>
      <c r="AL117" s="127" t="s">
        <v>704</v>
      </c>
      <c r="AM117" s="127" t="s">
        <v>705</v>
      </c>
      <c r="AN117" s="127" t="s">
        <v>706</v>
      </c>
      <c r="AO117" s="32"/>
      <c r="AP117" s="115"/>
      <c r="BU117" s="168"/>
      <c r="BV117" s="127" t="s">
        <v>700</v>
      </c>
      <c r="BW117" s="127" t="s">
        <v>688</v>
      </c>
      <c r="BX117" s="127" t="s">
        <v>701</v>
      </c>
      <c r="BY117" s="127" t="s">
        <v>702</v>
      </c>
      <c r="BZ117" s="127" t="s">
        <v>703</v>
      </c>
      <c r="CA117" s="127" t="s">
        <v>704</v>
      </c>
      <c r="CB117" s="127" t="s">
        <v>705</v>
      </c>
      <c r="CC117" s="191" t="s">
        <v>706</v>
      </c>
      <c r="CD117" s="127"/>
      <c r="CE117" s="127" t="s">
        <v>700</v>
      </c>
      <c r="CF117" s="127" t="s">
        <v>688</v>
      </c>
      <c r="CG117" s="127" t="s">
        <v>701</v>
      </c>
      <c r="CH117" s="127" t="s">
        <v>702</v>
      </c>
      <c r="CI117" s="127" t="s">
        <v>703</v>
      </c>
      <c r="CJ117" s="127" t="s">
        <v>704</v>
      </c>
      <c r="CK117" s="127" t="s">
        <v>705</v>
      </c>
      <c r="CL117" s="127" t="s">
        <v>706</v>
      </c>
    </row>
    <row r="118" spans="23:90" x14ac:dyDescent="0.25">
      <c r="W118" s="166" t="s">
        <v>694</v>
      </c>
      <c r="X118" s="125">
        <v>-2.0195908682016994</v>
      </c>
      <c r="Y118" s="125">
        <v>0.67151226549878684</v>
      </c>
      <c r="Z118" s="125">
        <v>-3.0075264026660551</v>
      </c>
      <c r="AA118" s="129">
        <v>2.3776223784535831E-2</v>
      </c>
      <c r="AB118" s="125">
        <v>-3.6627221888398882</v>
      </c>
      <c r="AC118" s="125">
        <v>-0.37645954756351063</v>
      </c>
      <c r="AD118" s="125">
        <v>-4.5091742579751868</v>
      </c>
      <c r="AE118" s="192">
        <v>0.46999252157178795</v>
      </c>
      <c r="AF118" s="166" t="s">
        <v>694</v>
      </c>
      <c r="AG118" s="125">
        <v>-1.2959809827816331</v>
      </c>
      <c r="AH118" s="125">
        <v>0.49495358463564998</v>
      </c>
      <c r="AI118" s="125">
        <v>-2.6183889217322127</v>
      </c>
      <c r="AJ118" s="129">
        <v>3.4489901671781148E-2</v>
      </c>
      <c r="AK118" s="125">
        <v>-2.4663602324238729</v>
      </c>
      <c r="AL118" s="125">
        <v>-0.12560173313939305</v>
      </c>
      <c r="AM118" s="125">
        <v>-3.0280627851778448</v>
      </c>
      <c r="AN118" s="125">
        <v>0.43610081961457836</v>
      </c>
      <c r="AO118" s="32"/>
      <c r="AP118" s="115"/>
      <c r="BU118" s="166" t="s">
        <v>694</v>
      </c>
      <c r="BV118" s="125">
        <v>0.11750861352593567</v>
      </c>
      <c r="BW118" s="125">
        <v>7.782781736371655E-2</v>
      </c>
      <c r="BX118" s="125">
        <v>1.5098536423908293</v>
      </c>
      <c r="BY118" s="177">
        <v>0.17482603910045874</v>
      </c>
      <c r="BZ118" s="125">
        <v>-6.6524930860842518E-2</v>
      </c>
      <c r="CA118" s="125">
        <v>0.30154215791271388</v>
      </c>
      <c r="CB118" s="125">
        <v>-0.15484853340763521</v>
      </c>
      <c r="CC118" s="192">
        <v>0.38986576045950655</v>
      </c>
      <c r="CD118" s="125" t="s">
        <v>694</v>
      </c>
      <c r="CE118" s="125">
        <v>0.14877349095686951</v>
      </c>
      <c r="CF118" s="125">
        <v>9.29703869704709E-2</v>
      </c>
      <c r="CG118" s="125">
        <v>1.6002244994863009</v>
      </c>
      <c r="CH118" s="177">
        <v>0.1535820267331244</v>
      </c>
      <c r="CI118" s="125">
        <v>-7.1066540753471852E-2</v>
      </c>
      <c r="CJ118" s="125">
        <v>0.36861352266721087</v>
      </c>
      <c r="CK118" s="125">
        <v>-0.17657482539450545</v>
      </c>
      <c r="CL118" s="125">
        <v>0.47412180730824449</v>
      </c>
    </row>
    <row r="119" spans="23:90" ht="15.75" thickBot="1" x14ac:dyDescent="0.3">
      <c r="W119" s="166" t="s">
        <v>781</v>
      </c>
      <c r="X119" s="125">
        <v>-1.2506572431189948</v>
      </c>
      <c r="Y119" s="125">
        <v>0.44153242320539399</v>
      </c>
      <c r="Z119" s="125">
        <v>-2.8325377195169392</v>
      </c>
      <c r="AA119" s="129">
        <v>2.9858067659311243E-2</v>
      </c>
      <c r="AB119" s="125">
        <v>-2.3310481621250299</v>
      </c>
      <c r="AC119" s="125">
        <v>-0.17026632411296005</v>
      </c>
      <c r="AD119" s="125">
        <v>-2.887606921234104</v>
      </c>
      <c r="AE119" s="192">
        <v>0.3862924349961141</v>
      </c>
      <c r="AF119" s="167" t="s">
        <v>781</v>
      </c>
      <c r="AG119" s="126">
        <v>-0.7387379244826151</v>
      </c>
      <c r="AH119" s="126">
        <v>0.29449970833034833</v>
      </c>
      <c r="AI119" s="126">
        <v>-2.5084504452342364</v>
      </c>
      <c r="AJ119" s="133">
        <v>4.0488576176192483E-2</v>
      </c>
      <c r="AK119" s="126">
        <v>-1.4351190768875584</v>
      </c>
      <c r="AL119" s="126">
        <v>-4.2356772077671745E-2</v>
      </c>
      <c r="AM119" s="126">
        <v>-1.7693347348592614</v>
      </c>
      <c r="AN119" s="126">
        <v>0.29185888589403119</v>
      </c>
      <c r="AO119" s="32"/>
      <c r="AP119" s="115"/>
      <c r="BU119" s="167" t="s">
        <v>778</v>
      </c>
      <c r="BV119" s="126">
        <v>-7.5290894626204132E-4</v>
      </c>
      <c r="BW119" s="126">
        <v>4.3129248090567943E-4</v>
      </c>
      <c r="BX119" s="126">
        <v>-1.7457038543333592</v>
      </c>
      <c r="BY119" s="175">
        <v>0.12437003893388629</v>
      </c>
      <c r="BZ119" s="126">
        <v>-1.772753606141229E-3</v>
      </c>
      <c r="CA119" s="126">
        <v>2.6693571361714643E-4</v>
      </c>
      <c r="CB119" s="126">
        <v>-2.2622097794643236E-3</v>
      </c>
      <c r="CC119" s="193">
        <v>7.563918869402409E-4</v>
      </c>
      <c r="CD119" s="126" t="s">
        <v>404</v>
      </c>
      <c r="CE119" s="126">
        <v>-7.8125074659343187E-4</v>
      </c>
      <c r="CF119" s="126">
        <v>4.4443354552632284E-4</v>
      </c>
      <c r="CG119" s="126">
        <v>-1.7578572870061628</v>
      </c>
      <c r="CH119" s="175">
        <v>0.12218390443633599</v>
      </c>
      <c r="CI119" s="126">
        <v>-1.8321690865663409E-3</v>
      </c>
      <c r="CJ119" s="126">
        <v>2.6966759337947719E-4</v>
      </c>
      <c r="CK119" s="126">
        <v>-2.3365385159450592E-3</v>
      </c>
      <c r="CL119" s="126">
        <v>7.7403702275819549E-4</v>
      </c>
    </row>
    <row r="120" spans="23:90" ht="15.75" thickBot="1" x14ac:dyDescent="0.3">
      <c r="W120" s="167" t="s">
        <v>784</v>
      </c>
      <c r="X120" s="126">
        <v>3.0008871451726749</v>
      </c>
      <c r="Y120" s="126">
        <v>2.0362324569432046</v>
      </c>
      <c r="Z120" s="126">
        <v>1.4737448737447252</v>
      </c>
      <c r="AA120" s="126">
        <v>0.19098478281098344</v>
      </c>
      <c r="AB120" s="126">
        <v>-1.9815941854076917</v>
      </c>
      <c r="AC120" s="126">
        <v>7.983368475753041</v>
      </c>
      <c r="AD120" s="126">
        <v>-4.5482981236295643</v>
      </c>
      <c r="AE120" s="193">
        <v>10.550072413974915</v>
      </c>
      <c r="AF120" s="116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70"/>
      <c r="BU120" s="171" t="s">
        <v>788</v>
      </c>
      <c r="BV120" s="163"/>
      <c r="BW120" s="163"/>
      <c r="BX120" s="163"/>
      <c r="BY120" s="163"/>
      <c r="BZ120" s="163"/>
      <c r="CA120" s="163"/>
      <c r="CB120" s="163"/>
      <c r="CC120" s="113"/>
    </row>
    <row r="121" spans="23:90" x14ac:dyDescent="0.25">
      <c r="BU121" s="114" t="s">
        <v>740</v>
      </c>
      <c r="BV121" s="32"/>
      <c r="BW121" s="32"/>
      <c r="BX121" s="32"/>
      <c r="BY121" s="32"/>
      <c r="BZ121" s="32"/>
      <c r="CA121" s="32"/>
      <c r="CB121" s="32"/>
      <c r="CC121" s="115"/>
    </row>
    <row r="122" spans="23:90" ht="15.75" thickBot="1" x14ac:dyDescent="0.3">
      <c r="BU122" s="114"/>
      <c r="BV122" s="32"/>
      <c r="BW122" s="32"/>
      <c r="BX122" s="32"/>
      <c r="BY122" s="32"/>
      <c r="BZ122" s="32"/>
      <c r="CA122" s="32"/>
      <c r="CB122" s="32"/>
      <c r="CC122" s="115"/>
    </row>
    <row r="123" spans="23:90" x14ac:dyDescent="0.25">
      <c r="BU123" s="165" t="s">
        <v>684</v>
      </c>
      <c r="BV123" s="128"/>
      <c r="BW123" s="32"/>
      <c r="BX123" s="32"/>
      <c r="BY123" s="32"/>
      <c r="BZ123" s="32"/>
      <c r="CA123" s="32"/>
      <c r="CB123" s="32"/>
      <c r="CC123" s="115"/>
    </row>
    <row r="124" spans="23:90" x14ac:dyDescent="0.25">
      <c r="BU124" s="166" t="s">
        <v>685</v>
      </c>
      <c r="BV124" s="125">
        <v>0.32576234018337852</v>
      </c>
      <c r="BW124" s="32"/>
      <c r="BX124" s="32"/>
      <c r="BY124" s="32"/>
      <c r="BZ124" s="32"/>
      <c r="CA124" s="32"/>
      <c r="CB124" s="32"/>
      <c r="CC124" s="115"/>
    </row>
    <row r="125" spans="23:90" x14ac:dyDescent="0.25">
      <c r="BU125" s="166" t="s">
        <v>686</v>
      </c>
      <c r="BV125" s="125">
        <v>0.10612110228175123</v>
      </c>
      <c r="BW125" s="32"/>
      <c r="BX125" s="32"/>
      <c r="BY125" s="32"/>
      <c r="BZ125" s="32"/>
      <c r="CA125" s="32"/>
      <c r="CB125" s="32"/>
      <c r="CC125" s="115"/>
    </row>
    <row r="126" spans="23:90" x14ac:dyDescent="0.25">
      <c r="BU126" s="166" t="s">
        <v>687</v>
      </c>
      <c r="BV126" s="125">
        <v>-2.1575883106570024E-2</v>
      </c>
      <c r="BW126" s="32"/>
      <c r="BX126" s="32"/>
      <c r="BY126" s="32"/>
      <c r="BZ126" s="32"/>
      <c r="CA126" s="32"/>
      <c r="CB126" s="32"/>
      <c r="CC126" s="115"/>
    </row>
    <row r="127" spans="23:90" x14ac:dyDescent="0.25">
      <c r="BU127" s="166" t="s">
        <v>688</v>
      </c>
      <c r="BV127" s="125">
        <v>0.13924255342918557</v>
      </c>
      <c r="BW127" s="32"/>
      <c r="BX127" s="32"/>
      <c r="BY127" s="32"/>
      <c r="BZ127" s="32"/>
      <c r="CA127" s="32"/>
      <c r="CB127" s="32"/>
      <c r="CC127" s="115"/>
    </row>
    <row r="128" spans="23:90" ht="15.75" thickBot="1" x14ac:dyDescent="0.3">
      <c r="BU128" s="167" t="s">
        <v>689</v>
      </c>
      <c r="BV128" s="126">
        <v>9</v>
      </c>
      <c r="BW128" s="32"/>
      <c r="BX128" s="32"/>
      <c r="BY128" s="32"/>
      <c r="BZ128" s="32"/>
      <c r="CA128" s="32"/>
      <c r="CB128" s="32"/>
      <c r="CC128" s="115"/>
    </row>
    <row r="129" spans="73:81" x14ac:dyDescent="0.25">
      <c r="BU129" s="114"/>
      <c r="BV129" s="32"/>
      <c r="BW129" s="32"/>
      <c r="BX129" s="32"/>
      <c r="BY129" s="32"/>
      <c r="BZ129" s="32"/>
      <c r="CA129" s="32"/>
      <c r="CB129" s="32"/>
      <c r="CC129" s="115"/>
    </row>
    <row r="130" spans="73:81" ht="15.75" thickBot="1" x14ac:dyDescent="0.3">
      <c r="BU130" s="114" t="s">
        <v>690</v>
      </c>
      <c r="BV130" s="32"/>
      <c r="BW130" s="32"/>
      <c r="BX130" s="32"/>
      <c r="BY130" s="32"/>
      <c r="BZ130" s="32"/>
      <c r="CA130" s="32"/>
      <c r="CB130" s="32"/>
      <c r="CC130" s="115"/>
    </row>
    <row r="131" spans="73:81" x14ac:dyDescent="0.25">
      <c r="BU131" s="168"/>
      <c r="BV131" s="127" t="s">
        <v>695</v>
      </c>
      <c r="BW131" s="127" t="s">
        <v>696</v>
      </c>
      <c r="BX131" s="127" t="s">
        <v>697</v>
      </c>
      <c r="BY131" s="127" t="s">
        <v>698</v>
      </c>
      <c r="BZ131" s="127" t="s">
        <v>699</v>
      </c>
      <c r="CA131" s="32"/>
      <c r="CB131" s="32"/>
      <c r="CC131" s="115"/>
    </row>
    <row r="132" spans="73:81" x14ac:dyDescent="0.25">
      <c r="BU132" s="166" t="s">
        <v>691</v>
      </c>
      <c r="BV132" s="125">
        <v>1</v>
      </c>
      <c r="BW132" s="125">
        <v>1.6112579201642857E-2</v>
      </c>
      <c r="BX132" s="125">
        <v>1.6112579201642857E-2</v>
      </c>
      <c r="BY132" s="125">
        <v>0.83103843022637802</v>
      </c>
      <c r="BZ132" s="177">
        <v>0.3922838560941409</v>
      </c>
      <c r="CA132" s="32"/>
      <c r="CB132" s="32"/>
      <c r="CC132" s="115"/>
    </row>
    <row r="133" spans="73:81" x14ac:dyDescent="0.25">
      <c r="BU133" s="166" t="s">
        <v>692</v>
      </c>
      <c r="BV133" s="125">
        <v>7</v>
      </c>
      <c r="BW133" s="125">
        <v>0.13571942079835719</v>
      </c>
      <c r="BX133" s="125">
        <v>1.9388488685479599E-2</v>
      </c>
      <c r="BY133" s="125"/>
      <c r="BZ133" s="125"/>
      <c r="CA133" s="32"/>
      <c r="CB133" s="32"/>
      <c r="CC133" s="115"/>
    </row>
    <row r="134" spans="73:81" ht="15.75" thickBot="1" x14ac:dyDescent="0.3">
      <c r="BU134" s="167" t="s">
        <v>693</v>
      </c>
      <c r="BV134" s="126">
        <v>8</v>
      </c>
      <c r="BW134" s="126">
        <v>0.15183200000000005</v>
      </c>
      <c r="BX134" s="126"/>
      <c r="BY134" s="126"/>
      <c r="BZ134" s="126"/>
      <c r="CA134" s="32"/>
      <c r="CB134" s="32"/>
      <c r="CC134" s="115"/>
    </row>
    <row r="135" spans="73:81" ht="15.75" thickBot="1" x14ac:dyDescent="0.3">
      <c r="BU135" s="114"/>
      <c r="BV135" s="32"/>
      <c r="BW135" s="32"/>
      <c r="BX135" s="32"/>
      <c r="BY135" s="32"/>
      <c r="BZ135" s="32"/>
      <c r="CA135" s="32"/>
      <c r="CB135" s="32"/>
      <c r="CC135" s="115"/>
    </row>
    <row r="136" spans="73:81" x14ac:dyDescent="0.25">
      <c r="BU136" s="168"/>
      <c r="BV136" s="127" t="s">
        <v>700</v>
      </c>
      <c r="BW136" s="127" t="s">
        <v>688</v>
      </c>
      <c r="BX136" s="127" t="s">
        <v>701</v>
      </c>
      <c r="BY136" s="127" t="s">
        <v>702</v>
      </c>
      <c r="BZ136" s="127" t="s">
        <v>703</v>
      </c>
      <c r="CA136" s="127" t="s">
        <v>704</v>
      </c>
      <c r="CB136" s="127" t="s">
        <v>705</v>
      </c>
      <c r="CC136" s="191" t="s">
        <v>706</v>
      </c>
    </row>
    <row r="137" spans="73:81" x14ac:dyDescent="0.25">
      <c r="BU137" s="166" t="s">
        <v>694</v>
      </c>
      <c r="BV137" s="125">
        <v>2.1214305754277425E-2</v>
      </c>
      <c r="BW137" s="125">
        <v>5.0975752967402345E-2</v>
      </c>
      <c r="BX137" s="125">
        <v>0.41616463748644217</v>
      </c>
      <c r="BY137" s="177">
        <v>0.68975246882007579</v>
      </c>
      <c r="BZ137" s="125">
        <v>-9.9324195955645025E-2</v>
      </c>
      <c r="CA137" s="125">
        <v>0.14175280746419988</v>
      </c>
      <c r="CB137" s="125">
        <v>-0.15717449032501199</v>
      </c>
      <c r="CC137" s="192">
        <v>0.19960310183356686</v>
      </c>
    </row>
    <row r="138" spans="73:81" ht="15.75" thickBot="1" x14ac:dyDescent="0.3">
      <c r="BU138" s="167" t="s">
        <v>307</v>
      </c>
      <c r="BV138" s="126">
        <v>-4.5075787662521329E-3</v>
      </c>
      <c r="BW138" s="126">
        <v>4.9446182858219785E-3</v>
      </c>
      <c r="BX138" s="126">
        <v>-0.91161309239522148</v>
      </c>
      <c r="BY138" s="175">
        <v>0.3922838560941404</v>
      </c>
      <c r="BZ138" s="126">
        <v>-1.6199743079775928E-2</v>
      </c>
      <c r="CA138" s="126">
        <v>7.1845855472716623E-3</v>
      </c>
      <c r="CB138" s="126">
        <v>-2.1811187869259979E-2</v>
      </c>
      <c r="CC138" s="193">
        <v>1.2796030336755713E-2</v>
      </c>
    </row>
  </sheetData>
  <mergeCells count="5">
    <mergeCell ref="AH102:AM105"/>
    <mergeCell ref="BT1:CM1"/>
    <mergeCell ref="W1:AP1"/>
    <mergeCell ref="AV1:BO1"/>
    <mergeCell ref="AX8:BC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4A8D-4066-46C6-9F60-089E48CEDCCC}">
  <sheetPr>
    <tabColor theme="3" tint="0.79998168889431442"/>
  </sheetPr>
  <dimension ref="A1:AP43"/>
  <sheetViews>
    <sheetView showGridLines="0" zoomScale="85" zoomScaleNormal="85" workbookViewId="0">
      <selection activeCell="D37" sqref="D37"/>
    </sheetView>
  </sheetViews>
  <sheetFormatPr defaultRowHeight="15" outlineLevelCol="1" x14ac:dyDescent="0.25"/>
  <cols>
    <col min="1" max="1" width="43.28515625" bestFit="1" customWidth="1"/>
    <col min="2" max="2" width="12.28515625" bestFit="1" customWidth="1"/>
    <col min="4" max="4" width="17" bestFit="1" customWidth="1"/>
    <col min="5" max="5" width="21.85546875" bestFit="1" customWidth="1"/>
    <col min="6" max="6" width="9.28515625" bestFit="1" customWidth="1"/>
    <col min="7" max="7" width="13.5703125" bestFit="1" customWidth="1"/>
    <col min="8" max="8" width="13.7109375" bestFit="1" customWidth="1"/>
    <col min="9" max="9" width="9.42578125" bestFit="1" customWidth="1"/>
    <col min="11" max="22" width="8.7109375" customWidth="1"/>
    <col min="23" max="23" width="35.140625" bestFit="1" customWidth="1" outlineLevel="1"/>
    <col min="24" max="28" width="8.7109375" customWidth="1" outlineLevel="1"/>
    <col min="29" max="31" width="9.140625" outlineLevel="1"/>
    <col min="32" max="32" width="25.140625" bestFit="1" customWidth="1" outlineLevel="1"/>
    <col min="33" max="42" width="9.140625" outlineLevel="1"/>
  </cols>
  <sheetData>
    <row r="1" spans="1:42" ht="15.75" thickBot="1" x14ac:dyDescent="0.3">
      <c r="A1" s="3" t="s">
        <v>718</v>
      </c>
      <c r="B1" s="162">
        <v>2016</v>
      </c>
      <c r="C1" s="162">
        <v>2017</v>
      </c>
      <c r="D1" s="162">
        <v>2018</v>
      </c>
      <c r="E1" s="162">
        <v>2019</v>
      </c>
      <c r="F1" s="162">
        <v>2020</v>
      </c>
      <c r="G1" s="162">
        <v>2021</v>
      </c>
      <c r="H1" s="162">
        <v>2022</v>
      </c>
      <c r="I1" s="162">
        <v>2023</v>
      </c>
      <c r="J1" s="162">
        <v>2024</v>
      </c>
      <c r="K1" s="162">
        <v>2025</v>
      </c>
      <c r="L1" s="162">
        <v>2026</v>
      </c>
      <c r="M1" s="162">
        <v>2027</v>
      </c>
      <c r="N1" s="162">
        <v>2028</v>
      </c>
      <c r="O1" s="162">
        <v>2029</v>
      </c>
      <c r="P1" s="162">
        <v>2030</v>
      </c>
      <c r="Q1" s="162">
        <v>2031</v>
      </c>
      <c r="R1" s="162">
        <v>2032</v>
      </c>
      <c r="S1" s="162">
        <v>2033</v>
      </c>
      <c r="T1" s="162">
        <v>2034</v>
      </c>
      <c r="W1" s="284" t="s">
        <v>803</v>
      </c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5"/>
      <c r="AP1" s="286"/>
    </row>
    <row r="2" spans="1:42" x14ac:dyDescent="0.25">
      <c r="A2" s="6" t="s">
        <v>49</v>
      </c>
      <c r="B2" s="160">
        <v>31.353000000000002</v>
      </c>
      <c r="C2" s="160">
        <v>23.646000000000001</v>
      </c>
      <c r="D2" s="160">
        <v>33.683999999999997</v>
      </c>
      <c r="E2" s="160">
        <v>38.621000000000002</v>
      </c>
      <c r="F2" s="160">
        <v>35.93</v>
      </c>
      <c r="G2" s="160">
        <v>120.319</v>
      </c>
      <c r="H2" s="160">
        <v>72.058000000000007</v>
      </c>
      <c r="I2" s="160">
        <v>67.307000000000002</v>
      </c>
      <c r="J2" s="160">
        <v>85.998999999999995</v>
      </c>
      <c r="W2" s="171" t="s">
        <v>806</v>
      </c>
      <c r="X2" s="163"/>
      <c r="Y2" s="163"/>
      <c r="Z2" s="163"/>
      <c r="AA2" s="163"/>
      <c r="AB2" s="163"/>
      <c r="AC2" s="163"/>
      <c r="AD2" s="163"/>
      <c r="AE2" s="113"/>
      <c r="AF2" s="171" t="s">
        <v>808</v>
      </c>
      <c r="AG2" s="163"/>
      <c r="AH2" s="163"/>
      <c r="AI2" s="163"/>
      <c r="AJ2" s="163"/>
      <c r="AK2" s="163"/>
      <c r="AL2" s="163"/>
      <c r="AM2" s="163"/>
      <c r="AN2" s="163"/>
      <c r="AO2" s="163"/>
      <c r="AP2" s="113"/>
    </row>
    <row r="3" spans="1:42" x14ac:dyDescent="0.25">
      <c r="A3" s="157" t="s">
        <v>805</v>
      </c>
      <c r="B3" s="160">
        <v>16.399000000000001</v>
      </c>
      <c r="C3" s="160">
        <v>12.666</v>
      </c>
      <c r="D3" s="160">
        <v>22.902999999999999</v>
      </c>
      <c r="E3" s="160">
        <v>24.960999999999999</v>
      </c>
      <c r="F3" s="160">
        <v>19.170999999999999</v>
      </c>
      <c r="G3" s="160">
        <v>103.23</v>
      </c>
      <c r="H3" s="160">
        <v>38.323</v>
      </c>
      <c r="I3" s="160">
        <v>30.123000000000001</v>
      </c>
      <c r="J3" s="160">
        <v>43.628</v>
      </c>
      <c r="W3" s="114" t="s">
        <v>740</v>
      </c>
      <c r="X3" s="32"/>
      <c r="Y3" s="32"/>
      <c r="Z3" s="32"/>
      <c r="AA3" s="32"/>
      <c r="AB3" s="32"/>
      <c r="AC3" s="32"/>
      <c r="AD3" s="32"/>
      <c r="AE3" s="115"/>
      <c r="AF3" s="114" t="s">
        <v>740</v>
      </c>
      <c r="AG3" s="32"/>
      <c r="AH3" s="32"/>
      <c r="AI3" s="32"/>
      <c r="AJ3" s="32"/>
      <c r="AK3" s="32"/>
      <c r="AL3" s="32"/>
      <c r="AM3" s="32"/>
      <c r="AN3" s="32"/>
      <c r="AO3" s="32"/>
      <c r="AP3" s="115"/>
    </row>
    <row r="4" spans="1:42" ht="15.75" thickBot="1" x14ac:dyDescent="0.3">
      <c r="A4" s="6" t="s">
        <v>804</v>
      </c>
      <c r="B4" s="214">
        <v>21.236999999999998</v>
      </c>
      <c r="C4" s="214">
        <v>14.944000000000001</v>
      </c>
      <c r="D4" s="214">
        <v>24.305</v>
      </c>
      <c r="E4" s="214">
        <v>27.353999999999999</v>
      </c>
      <c r="F4" s="214">
        <v>20.434999999999999</v>
      </c>
      <c r="G4" s="214">
        <v>104.164</v>
      </c>
      <c r="H4" s="214">
        <v>41.146999999999998</v>
      </c>
      <c r="I4" s="214">
        <v>31.832999999999998</v>
      </c>
      <c r="J4" s="214">
        <v>45.525999999999996</v>
      </c>
      <c r="W4" s="114"/>
      <c r="X4" s="32"/>
      <c r="Y4" s="32"/>
      <c r="Z4" s="32"/>
      <c r="AA4" s="32"/>
      <c r="AB4" s="32"/>
      <c r="AC4" s="32"/>
      <c r="AD4" s="32"/>
      <c r="AE4" s="115"/>
      <c r="AF4" s="114"/>
      <c r="AG4" s="32"/>
      <c r="AH4" s="32"/>
      <c r="AI4" s="32"/>
      <c r="AJ4" s="32"/>
      <c r="AK4" s="32"/>
      <c r="AL4" s="32"/>
      <c r="AM4" s="32"/>
      <c r="AN4" s="32"/>
      <c r="AO4" s="32"/>
      <c r="AP4" s="115"/>
    </row>
    <row r="5" spans="1:42" x14ac:dyDescent="0.25">
      <c r="A5" s="217" t="s">
        <v>307</v>
      </c>
      <c r="B5" s="218">
        <f>'Proj. Despesa não operacional'!B7</f>
        <v>2.6989999999999998</v>
      </c>
      <c r="C5" s="218">
        <f>'Proj. Despesa não operacional'!C7</f>
        <v>1.972</v>
      </c>
      <c r="D5" s="218">
        <f>'Proj. Despesa não operacional'!D7</f>
        <v>1.2450000000000001</v>
      </c>
      <c r="E5" s="218">
        <f>'Proj. Despesa não operacional'!E7</f>
        <v>0.73699999999999999</v>
      </c>
      <c r="F5" s="218">
        <f>'Proj. Despesa não operacional'!F7</f>
        <v>0.53600000000000003</v>
      </c>
      <c r="G5" s="218">
        <f>'Proj. Despesa não operacional'!G7</f>
        <v>0.33500000000000002</v>
      </c>
      <c r="H5" s="218">
        <f>'Proj. Despesa não operacional'!H7</f>
        <v>0.13400000000000001</v>
      </c>
      <c r="I5" s="218">
        <f>'Proj. Despesa não operacional'!I7</f>
        <v>0</v>
      </c>
      <c r="J5" s="218">
        <f>'Proj. Despesa não operacional'!J7</f>
        <v>30.706</v>
      </c>
      <c r="K5" s="219">
        <f>'Proj. Despesa não operacional'!K7</f>
        <v>26.373000000000001</v>
      </c>
      <c r="L5" s="219">
        <f>'Proj. Despesa não operacional'!L7</f>
        <v>21.538912417891776</v>
      </c>
      <c r="M5" s="219">
        <f>'Proj. Despesa não operacional'!M7</f>
        <v>17.590897817677643</v>
      </c>
      <c r="N5" s="219">
        <f>'Proj. Despesa não operacional'!N7</f>
        <v>14.366541821068605</v>
      </c>
      <c r="O5" s="219">
        <f>'Proj. Despesa não operacional'!O7</f>
        <v>11.733200092214616</v>
      </c>
      <c r="P5" s="219">
        <f>'Proj. Despesa não operacional'!P7</f>
        <v>9.5825415829754039</v>
      </c>
      <c r="Q5" s="219">
        <f>'Proj. Despesa não operacional'!Q7</f>
        <v>7.8260919840940826</v>
      </c>
      <c r="R5" s="219">
        <f>'Proj. Despesa não operacional'!R7</f>
        <v>6.391594047691477</v>
      </c>
      <c r="S5" s="219">
        <f>'Proj. Despesa não operacional'!S7</f>
        <v>5.2200350511487166</v>
      </c>
      <c r="T5" s="219">
        <f>'Proj. Despesa não operacional'!T7</f>
        <v>4.2632191174692835</v>
      </c>
      <c r="W5" s="165" t="s">
        <v>684</v>
      </c>
      <c r="X5" s="128"/>
      <c r="Y5" s="32"/>
      <c r="Z5" s="32"/>
      <c r="AA5" s="32"/>
      <c r="AB5" s="32"/>
      <c r="AC5" s="32"/>
      <c r="AD5" s="32"/>
      <c r="AE5" s="115"/>
      <c r="AF5" s="165" t="s">
        <v>684</v>
      </c>
      <c r="AG5" s="128"/>
      <c r="AH5" s="32"/>
      <c r="AI5" s="32"/>
      <c r="AJ5" s="32"/>
      <c r="AK5" s="32"/>
      <c r="AL5" s="32"/>
      <c r="AM5" s="32"/>
      <c r="AN5" s="32"/>
      <c r="AO5" s="32"/>
      <c r="AP5" s="115"/>
    </row>
    <row r="6" spans="1:42" x14ac:dyDescent="0.25">
      <c r="A6" s="213" t="s">
        <v>773</v>
      </c>
      <c r="B6" s="161">
        <v>0.73499999999999999</v>
      </c>
      <c r="C6" s="161">
        <v>0.73299999999999998</v>
      </c>
      <c r="D6" s="161">
        <v>0.73099999999999998</v>
      </c>
      <c r="E6" s="161">
        <v>0.51100000000000001</v>
      </c>
      <c r="F6" s="161">
        <v>0.20300000000000001</v>
      </c>
      <c r="G6" s="161">
        <v>0.20200000000000001</v>
      </c>
      <c r="H6" s="161">
        <v>0.20200000000000001</v>
      </c>
      <c r="I6" s="161">
        <v>0.13400000000000001</v>
      </c>
      <c r="J6" s="161">
        <v>8.7999999999999995E-2</v>
      </c>
      <c r="W6" s="166" t="s">
        <v>685</v>
      </c>
      <c r="X6" s="125">
        <v>0.784748580524676</v>
      </c>
      <c r="Y6" s="32"/>
      <c r="Z6" s="32"/>
      <c r="AA6" s="32"/>
      <c r="AB6" s="32"/>
      <c r="AC6" s="32"/>
      <c r="AD6" s="32"/>
      <c r="AE6" s="115"/>
      <c r="AF6" s="166" t="s">
        <v>685</v>
      </c>
      <c r="AG6" s="125">
        <v>0.24422995217092919</v>
      </c>
      <c r="AH6" s="32"/>
      <c r="AI6" s="32"/>
      <c r="AJ6" s="32"/>
      <c r="AK6" s="32"/>
      <c r="AL6" s="32"/>
      <c r="AM6" s="32"/>
      <c r="AN6" s="32"/>
      <c r="AO6" s="32"/>
      <c r="AP6" s="115"/>
    </row>
    <row r="7" spans="1:42" x14ac:dyDescent="0.25">
      <c r="A7" s="179" t="s">
        <v>803</v>
      </c>
      <c r="B7" s="161">
        <v>6.9489999999999998</v>
      </c>
      <c r="C7" s="161">
        <v>2.427</v>
      </c>
      <c r="D7" s="161">
        <v>1.6890000000000001</v>
      </c>
      <c r="E7" s="161">
        <v>2.097</v>
      </c>
      <c r="F7" s="161">
        <v>1.726</v>
      </c>
      <c r="G7" s="161">
        <v>4.3559999999999999</v>
      </c>
      <c r="H7" s="161">
        <v>3.657</v>
      </c>
      <c r="I7" s="161">
        <v>3.121</v>
      </c>
      <c r="J7" s="161">
        <v>10.662000000000001</v>
      </c>
      <c r="W7" s="166" t="s">
        <v>686</v>
      </c>
      <c r="X7" s="125">
        <v>0.61583033463549397</v>
      </c>
      <c r="Y7" s="32"/>
      <c r="Z7" s="32"/>
      <c r="AA7" s="32"/>
      <c r="AB7" s="32"/>
      <c r="AC7" s="32"/>
      <c r="AD7" s="32"/>
      <c r="AE7" s="115"/>
      <c r="AF7" s="166" t="s">
        <v>686</v>
      </c>
      <c r="AG7" s="125">
        <v>5.964826953741436E-2</v>
      </c>
      <c r="AH7" s="32"/>
      <c r="AI7" s="32"/>
      <c r="AJ7" s="32"/>
      <c r="AK7" s="32"/>
      <c r="AL7" s="32"/>
      <c r="AM7" s="32"/>
      <c r="AN7" s="32"/>
      <c r="AO7" s="32"/>
      <c r="AP7" s="115"/>
    </row>
    <row r="8" spans="1:42" x14ac:dyDescent="0.25">
      <c r="A8" s="179" t="s">
        <v>807</v>
      </c>
      <c r="B8" s="215">
        <f>B7/B4</f>
        <v>0.32721194142298821</v>
      </c>
      <c r="C8" s="215">
        <f t="shared" ref="C8:J8" si="0">C7/C4</f>
        <v>0.16240631691648821</v>
      </c>
      <c r="D8" s="215">
        <f t="shared" si="0"/>
        <v>6.9491874099979437E-2</v>
      </c>
      <c r="E8" s="215">
        <f t="shared" si="0"/>
        <v>7.6661548585216052E-2</v>
      </c>
      <c r="F8" s="215">
        <f t="shared" si="0"/>
        <v>8.4462931245412293E-2</v>
      </c>
      <c r="G8" s="215">
        <f t="shared" si="0"/>
        <v>4.181867055796628E-2</v>
      </c>
      <c r="H8" s="215">
        <f t="shared" si="0"/>
        <v>8.8876467300167697E-2</v>
      </c>
      <c r="I8" s="215">
        <f t="shared" si="0"/>
        <v>9.8042911444098893E-2</v>
      </c>
      <c r="J8" s="215">
        <f t="shared" si="0"/>
        <v>0.23419584413302291</v>
      </c>
      <c r="W8" s="166" t="s">
        <v>687</v>
      </c>
      <c r="X8" s="125">
        <v>0.23166066927098794</v>
      </c>
      <c r="Y8" s="32"/>
      <c r="Z8" s="32"/>
      <c r="AA8" s="32"/>
      <c r="AB8" s="32"/>
      <c r="AC8" s="32"/>
      <c r="AD8" s="32"/>
      <c r="AE8" s="115"/>
      <c r="AF8" s="166" t="s">
        <v>687</v>
      </c>
      <c r="AG8" s="125">
        <v>-7.4687691957240718E-2</v>
      </c>
      <c r="AH8" s="32"/>
      <c r="AI8" s="32"/>
      <c r="AJ8" s="32"/>
      <c r="AK8" s="32"/>
      <c r="AL8" s="32"/>
      <c r="AM8" s="32"/>
      <c r="AN8" s="32"/>
      <c r="AO8" s="32"/>
      <c r="AP8" s="115"/>
    </row>
    <row r="9" spans="1:42" x14ac:dyDescent="0.25">
      <c r="W9" s="166" t="s">
        <v>688</v>
      </c>
      <c r="X9" s="125">
        <v>2.6049056195602609</v>
      </c>
      <c r="Y9" s="32"/>
      <c r="Z9" s="32"/>
      <c r="AA9" s="32"/>
      <c r="AB9" s="32"/>
      <c r="AC9" s="32"/>
      <c r="AD9" s="32"/>
      <c r="AE9" s="115"/>
      <c r="AF9" s="166" t="s">
        <v>688</v>
      </c>
      <c r="AG9" s="125">
        <v>3.0807509969704836</v>
      </c>
      <c r="AH9" s="32"/>
      <c r="AI9" s="32"/>
      <c r="AJ9" s="32"/>
      <c r="AK9" s="32"/>
      <c r="AL9" s="32"/>
      <c r="AM9" s="32"/>
      <c r="AN9" s="32"/>
      <c r="AO9" s="32"/>
      <c r="AP9" s="115"/>
    </row>
    <row r="10" spans="1:42" ht="15.75" thickBot="1" x14ac:dyDescent="0.3">
      <c r="A10" t="s">
        <v>809</v>
      </c>
      <c r="B10" s="136">
        <f>SUM(B7:J7)/SUM(B4:J4)</f>
        <v>0.11084621311698319</v>
      </c>
      <c r="W10" s="167" t="s">
        <v>689</v>
      </c>
      <c r="X10" s="126">
        <v>9</v>
      </c>
      <c r="Y10" s="32"/>
      <c r="Z10" s="32"/>
      <c r="AA10" s="32"/>
      <c r="AB10" s="32"/>
      <c r="AC10" s="32"/>
      <c r="AD10" s="32"/>
      <c r="AE10" s="115"/>
      <c r="AF10" s="167" t="s">
        <v>689</v>
      </c>
      <c r="AG10" s="126">
        <v>9</v>
      </c>
      <c r="AH10" s="32"/>
      <c r="AI10" s="32"/>
      <c r="AJ10" s="32"/>
      <c r="AK10" s="32"/>
      <c r="AL10" s="32"/>
      <c r="AM10" s="32"/>
      <c r="AN10" s="32"/>
      <c r="AO10" s="32"/>
      <c r="AP10" s="115"/>
    </row>
    <row r="11" spans="1:42" x14ac:dyDescent="0.25">
      <c r="B11" s="26"/>
      <c r="W11" s="114"/>
      <c r="X11" s="32"/>
      <c r="Y11" s="32"/>
      <c r="Z11" s="32"/>
      <c r="AA11" s="32"/>
      <c r="AB11" s="32"/>
      <c r="AC11" s="32"/>
      <c r="AD11" s="32"/>
      <c r="AE11" s="115"/>
      <c r="AF11" s="114"/>
      <c r="AG11" s="32"/>
      <c r="AH11" s="32"/>
      <c r="AI11" s="32"/>
      <c r="AJ11" s="32"/>
      <c r="AK11" s="32"/>
      <c r="AL11" s="32"/>
      <c r="AM11" s="32"/>
      <c r="AN11" s="32"/>
      <c r="AO11" s="32"/>
      <c r="AP11" s="115"/>
    </row>
    <row r="12" spans="1:42" ht="15.75" thickBot="1" x14ac:dyDescent="0.3">
      <c r="A12" t="str" cm="1">
        <f t="array" ref="A12:H21">TRANSPOSE(A1:J8)</f>
        <v>Ano</v>
      </c>
      <c r="B12" t="str">
        <v>Receita</v>
      </c>
      <c r="C12" t="str">
        <v>LAJIR (Lucro antes do Juros e IR)</v>
      </c>
      <c r="D12" t="str">
        <v>LAIR (Lucro antes do IR)</v>
      </c>
      <c r="E12" t="str">
        <v>Dívida LP</v>
      </c>
      <c r="F12" t="str">
        <v>Dívida CP</v>
      </c>
      <c r="G12" t="str">
        <v>Imposto de renda</v>
      </c>
      <c r="H12" t="str">
        <v>Alíquota do IR (Sobre o LAIR)</v>
      </c>
      <c r="W12" s="114" t="s">
        <v>690</v>
      </c>
      <c r="X12" s="32"/>
      <c r="Y12" s="32"/>
      <c r="Z12" s="32"/>
      <c r="AA12" s="32"/>
      <c r="AB12" s="32"/>
      <c r="AC12" s="32"/>
      <c r="AD12" s="32"/>
      <c r="AE12" s="115"/>
      <c r="AF12" s="114" t="s">
        <v>690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115"/>
    </row>
    <row r="13" spans="1:42" x14ac:dyDescent="0.25">
      <c r="A13">
        <v>2016</v>
      </c>
      <c r="B13">
        <v>31.353000000000002</v>
      </c>
      <c r="C13">
        <v>16.399000000000001</v>
      </c>
      <c r="D13">
        <v>21.236999999999998</v>
      </c>
      <c r="E13">
        <v>2.6989999999999998</v>
      </c>
      <c r="F13" s="216">
        <v>0.73499999999999999</v>
      </c>
      <c r="G13" s="216">
        <v>6.9489999999999998</v>
      </c>
      <c r="H13" s="136">
        <v>0.32721194142298821</v>
      </c>
      <c r="W13" s="168"/>
      <c r="X13" s="127" t="s">
        <v>695</v>
      </c>
      <c r="Y13" s="127" t="s">
        <v>696</v>
      </c>
      <c r="Z13" s="127" t="s">
        <v>697</v>
      </c>
      <c r="AA13" s="127" t="s">
        <v>698</v>
      </c>
      <c r="AB13" s="127" t="s">
        <v>699</v>
      </c>
      <c r="AC13" s="32"/>
      <c r="AD13" s="32"/>
      <c r="AE13" s="115"/>
      <c r="AF13" s="168"/>
      <c r="AG13" s="127" t="s">
        <v>695</v>
      </c>
      <c r="AH13" s="127" t="s">
        <v>696</v>
      </c>
      <c r="AI13" s="127" t="s">
        <v>697</v>
      </c>
      <c r="AJ13" s="127" t="s">
        <v>698</v>
      </c>
      <c r="AK13" s="127" t="s">
        <v>699</v>
      </c>
      <c r="AL13" s="32"/>
      <c r="AM13" s="32"/>
      <c r="AN13" s="32"/>
      <c r="AO13" s="32"/>
      <c r="AP13" s="115"/>
    </row>
    <row r="14" spans="1:42" x14ac:dyDescent="0.25">
      <c r="A14">
        <v>2017</v>
      </c>
      <c r="B14">
        <v>23.646000000000001</v>
      </c>
      <c r="C14">
        <v>12.666</v>
      </c>
      <c r="D14">
        <v>14.944000000000001</v>
      </c>
      <c r="E14">
        <v>1.972</v>
      </c>
      <c r="F14" s="216">
        <v>0.73299999999999998</v>
      </c>
      <c r="G14" s="216">
        <v>2.427</v>
      </c>
      <c r="H14" s="136">
        <v>0.16240631691648821</v>
      </c>
      <c r="W14" s="166" t="s">
        <v>691</v>
      </c>
      <c r="X14" s="125">
        <v>4</v>
      </c>
      <c r="Y14" s="125">
        <v>43.509288852733505</v>
      </c>
      <c r="Z14" s="125">
        <v>10.877322213183376</v>
      </c>
      <c r="AA14" s="125">
        <v>1.6030165579345903</v>
      </c>
      <c r="AB14" s="177">
        <v>0.32936261196941208</v>
      </c>
      <c r="AC14" s="32"/>
      <c r="AD14" s="32"/>
      <c r="AE14" s="115"/>
      <c r="AF14" s="166" t="s">
        <v>691</v>
      </c>
      <c r="AG14" s="125">
        <v>1</v>
      </c>
      <c r="AH14" s="125">
        <v>4.2142350626576075</v>
      </c>
      <c r="AI14" s="125">
        <v>4.2142350626576075</v>
      </c>
      <c r="AJ14" s="125">
        <v>0.44402309607757279</v>
      </c>
      <c r="AK14" s="177">
        <v>0.52653096494626817</v>
      </c>
      <c r="AL14" s="32"/>
      <c r="AM14" s="32"/>
      <c r="AN14" s="32"/>
      <c r="AO14" s="32"/>
      <c r="AP14" s="115"/>
    </row>
    <row r="15" spans="1:42" x14ac:dyDescent="0.25">
      <c r="A15">
        <v>2018</v>
      </c>
      <c r="B15">
        <v>33.683999999999997</v>
      </c>
      <c r="C15">
        <v>22.902999999999999</v>
      </c>
      <c r="D15">
        <v>24.305</v>
      </c>
      <c r="E15">
        <v>1.2450000000000001</v>
      </c>
      <c r="F15" s="216">
        <v>0.73099999999999998</v>
      </c>
      <c r="G15" s="216">
        <v>1.6890000000000001</v>
      </c>
      <c r="H15" s="136">
        <v>6.9491874099979437E-2</v>
      </c>
      <c r="W15" s="166" t="s">
        <v>692</v>
      </c>
      <c r="X15" s="125">
        <v>4</v>
      </c>
      <c r="Y15" s="125">
        <v>27.142133147266506</v>
      </c>
      <c r="Z15" s="125">
        <v>6.7855332868166265</v>
      </c>
      <c r="AA15" s="125"/>
      <c r="AB15" s="125"/>
      <c r="AC15" s="32"/>
      <c r="AD15" s="32"/>
      <c r="AE15" s="115"/>
      <c r="AF15" s="166" t="s">
        <v>692</v>
      </c>
      <c r="AG15" s="125">
        <v>7</v>
      </c>
      <c r="AH15" s="125">
        <v>66.437186937342403</v>
      </c>
      <c r="AI15" s="125">
        <v>9.4910267053346296</v>
      </c>
      <c r="AJ15" s="125"/>
      <c r="AK15" s="125"/>
      <c r="AL15" s="32"/>
      <c r="AM15" s="32"/>
      <c r="AN15" s="32"/>
      <c r="AO15" s="32"/>
      <c r="AP15" s="115"/>
    </row>
    <row r="16" spans="1:42" ht="15.75" thickBot="1" x14ac:dyDescent="0.3">
      <c r="A16">
        <v>2019</v>
      </c>
      <c r="B16">
        <v>38.621000000000002</v>
      </c>
      <c r="C16">
        <v>24.960999999999999</v>
      </c>
      <c r="D16">
        <v>27.353999999999999</v>
      </c>
      <c r="E16">
        <v>0.73699999999999999</v>
      </c>
      <c r="F16" s="216">
        <v>0.51100000000000001</v>
      </c>
      <c r="G16" s="216">
        <v>2.097</v>
      </c>
      <c r="H16" s="136">
        <v>7.6661548585216052E-2</v>
      </c>
      <c r="W16" s="167" t="s">
        <v>693</v>
      </c>
      <c r="X16" s="126">
        <v>8</v>
      </c>
      <c r="Y16" s="126">
        <v>70.651422000000011</v>
      </c>
      <c r="Z16" s="126"/>
      <c r="AA16" s="126"/>
      <c r="AB16" s="126"/>
      <c r="AC16" s="32"/>
      <c r="AD16" s="32"/>
      <c r="AE16" s="115"/>
      <c r="AF16" s="167" t="s">
        <v>693</v>
      </c>
      <c r="AG16" s="126">
        <v>8</v>
      </c>
      <c r="AH16" s="126">
        <v>70.651422000000011</v>
      </c>
      <c r="AI16" s="126"/>
      <c r="AJ16" s="126"/>
      <c r="AK16" s="126"/>
      <c r="AL16" s="32"/>
      <c r="AM16" s="32"/>
      <c r="AN16" s="32"/>
      <c r="AO16" s="32"/>
      <c r="AP16" s="115"/>
    </row>
    <row r="17" spans="1:42" ht="15.75" thickBot="1" x14ac:dyDescent="0.3">
      <c r="A17">
        <v>2020</v>
      </c>
      <c r="B17">
        <v>35.93</v>
      </c>
      <c r="C17">
        <v>19.170999999999999</v>
      </c>
      <c r="D17">
        <v>20.434999999999999</v>
      </c>
      <c r="E17">
        <v>0.53600000000000003</v>
      </c>
      <c r="F17" s="216">
        <v>0.20300000000000001</v>
      </c>
      <c r="G17" s="216">
        <v>1.726</v>
      </c>
      <c r="H17" s="136">
        <v>8.4462931245412293E-2</v>
      </c>
      <c r="W17" s="114"/>
      <c r="X17" s="32"/>
      <c r="Y17" s="32"/>
      <c r="Z17" s="32"/>
      <c r="AA17" s="32"/>
      <c r="AB17" s="32"/>
      <c r="AC17" s="32"/>
      <c r="AD17" s="32"/>
      <c r="AE17" s="115"/>
      <c r="AF17" s="114"/>
      <c r="AG17" s="32"/>
      <c r="AH17" s="32"/>
      <c r="AI17" s="32"/>
      <c r="AJ17" s="32"/>
      <c r="AK17" s="32"/>
      <c r="AL17" s="32"/>
      <c r="AM17" s="32"/>
      <c r="AN17" s="32"/>
      <c r="AO17" s="32"/>
      <c r="AP17" s="115"/>
    </row>
    <row r="18" spans="1:42" x14ac:dyDescent="0.25">
      <c r="A18">
        <v>2021</v>
      </c>
      <c r="B18">
        <v>120.319</v>
      </c>
      <c r="C18">
        <v>103.23</v>
      </c>
      <c r="D18">
        <v>104.164</v>
      </c>
      <c r="E18">
        <v>0.33500000000000002</v>
      </c>
      <c r="F18" s="216">
        <v>0.20200000000000001</v>
      </c>
      <c r="G18" s="216">
        <v>4.3559999999999999</v>
      </c>
      <c r="H18" s="136">
        <v>4.181867055796628E-2</v>
      </c>
      <c r="W18" s="168"/>
      <c r="X18" s="127" t="s">
        <v>700</v>
      </c>
      <c r="Y18" s="127" t="s">
        <v>688</v>
      </c>
      <c r="Z18" s="127" t="s">
        <v>701</v>
      </c>
      <c r="AA18" s="127" t="s">
        <v>702</v>
      </c>
      <c r="AB18" s="127" t="s">
        <v>703</v>
      </c>
      <c r="AC18" s="127" t="s">
        <v>704</v>
      </c>
      <c r="AD18" s="127" t="s">
        <v>705</v>
      </c>
      <c r="AE18" s="191" t="s">
        <v>706</v>
      </c>
      <c r="AF18" s="168"/>
      <c r="AG18" s="127" t="s">
        <v>700</v>
      </c>
      <c r="AH18" s="127" t="s">
        <v>688</v>
      </c>
      <c r="AI18" s="127" t="s">
        <v>701</v>
      </c>
      <c r="AJ18" s="127" t="s">
        <v>702</v>
      </c>
      <c r="AK18" s="127" t="s">
        <v>703</v>
      </c>
      <c r="AL18" s="127" t="s">
        <v>704</v>
      </c>
      <c r="AM18" s="127" t="s">
        <v>705</v>
      </c>
      <c r="AN18" s="127" t="s">
        <v>706</v>
      </c>
      <c r="AO18" s="32"/>
      <c r="AP18" s="115"/>
    </row>
    <row r="19" spans="1:42" x14ac:dyDescent="0.25">
      <c r="A19">
        <v>2022</v>
      </c>
      <c r="B19">
        <v>72.058000000000007</v>
      </c>
      <c r="C19">
        <v>38.323</v>
      </c>
      <c r="D19">
        <v>41.146999999999998</v>
      </c>
      <c r="E19">
        <v>0.13400000000000001</v>
      </c>
      <c r="F19" s="216">
        <v>0.20200000000000001</v>
      </c>
      <c r="G19" s="216">
        <v>3.657</v>
      </c>
      <c r="H19" s="136">
        <v>8.8876467300167697E-2</v>
      </c>
      <c r="W19" s="166" t="s">
        <v>694</v>
      </c>
      <c r="X19" s="125">
        <v>3167.3480043014047</v>
      </c>
      <c r="Y19" s="125">
        <v>4164.5091614407502</v>
      </c>
      <c r="Z19" s="125">
        <v>0.76055733857615804</v>
      </c>
      <c r="AA19" s="177">
        <v>0.48928569910072428</v>
      </c>
      <c r="AB19" s="125">
        <v>-8395.1830725321342</v>
      </c>
      <c r="AC19" s="125">
        <v>14729.879081134943</v>
      </c>
      <c r="AD19" s="125">
        <v>-16006.447267578014</v>
      </c>
      <c r="AE19" s="192">
        <v>22341.143276180825</v>
      </c>
      <c r="AF19" s="166" t="s">
        <v>694</v>
      </c>
      <c r="AG19" s="125">
        <v>3.0924637006310078</v>
      </c>
      <c r="AH19" s="125">
        <v>1.7980954134555773</v>
      </c>
      <c r="AI19" s="125">
        <v>1.719855174252358</v>
      </c>
      <c r="AJ19" s="177">
        <v>0.12914414885537151</v>
      </c>
      <c r="AK19" s="125">
        <v>-1.1593563207038056</v>
      </c>
      <c r="AL19" s="125">
        <v>7.3442837219658212</v>
      </c>
      <c r="AM19" s="125">
        <v>-3.1999411657993164</v>
      </c>
      <c r="AN19" s="125">
        <v>9.3848685670613321</v>
      </c>
      <c r="AO19" s="32"/>
      <c r="AP19" s="115"/>
    </row>
    <row r="20" spans="1:42" ht="15.75" thickBot="1" x14ac:dyDescent="0.3">
      <c r="A20">
        <v>2023</v>
      </c>
      <c r="B20">
        <v>67.307000000000002</v>
      </c>
      <c r="C20">
        <v>30.123000000000001</v>
      </c>
      <c r="D20">
        <v>31.832999999999998</v>
      </c>
      <c r="E20">
        <v>0</v>
      </c>
      <c r="F20" s="216">
        <v>0.13400000000000001</v>
      </c>
      <c r="G20" s="216">
        <v>3.121</v>
      </c>
      <c r="H20" s="136">
        <v>9.8042911444098893E-2</v>
      </c>
      <c r="W20" s="166" t="s">
        <v>718</v>
      </c>
      <c r="X20" s="125">
        <v>-1.5716183384490245</v>
      </c>
      <c r="Y20" s="125">
        <v>2.0644441126297259</v>
      </c>
      <c r="Z20" s="125">
        <v>-0.76127918834628505</v>
      </c>
      <c r="AA20" s="177">
        <v>0.48889957024365599</v>
      </c>
      <c r="AB20" s="125">
        <v>-7.3034340899142292</v>
      </c>
      <c r="AC20" s="125">
        <v>4.1601974130161805</v>
      </c>
      <c r="AD20" s="125">
        <v>-11.076514889596233</v>
      </c>
      <c r="AE20" s="192">
        <v>7.933278212698184</v>
      </c>
      <c r="AF20" s="167" t="s">
        <v>804</v>
      </c>
      <c r="AG20" s="126">
        <v>2.6747123220840097E-2</v>
      </c>
      <c r="AH20" s="126">
        <v>4.0139716247309776E-2</v>
      </c>
      <c r="AI20" s="126">
        <v>0.66635058045864315</v>
      </c>
      <c r="AJ20" s="175">
        <v>0.52653096494626928</v>
      </c>
      <c r="AK20" s="126">
        <v>-6.8168223269601536E-2</v>
      </c>
      <c r="AL20" s="126">
        <v>0.12166246971128172</v>
      </c>
      <c r="AM20" s="126">
        <v>-0.11372114334700874</v>
      </c>
      <c r="AN20" s="126">
        <v>0.16721538978868894</v>
      </c>
      <c r="AO20" s="32"/>
      <c r="AP20" s="115"/>
    </row>
    <row r="21" spans="1:42" x14ac:dyDescent="0.25">
      <c r="A21">
        <v>2024</v>
      </c>
      <c r="B21">
        <v>85.998999999999995</v>
      </c>
      <c r="C21">
        <v>43.628</v>
      </c>
      <c r="D21">
        <v>45.525999999999996</v>
      </c>
      <c r="E21">
        <v>30.706</v>
      </c>
      <c r="F21" s="216">
        <v>8.7999999999999995E-2</v>
      </c>
      <c r="G21" s="216">
        <v>10.662000000000001</v>
      </c>
      <c r="H21" s="136">
        <v>0.23419584413302291</v>
      </c>
      <c r="W21" s="166" t="s">
        <v>49</v>
      </c>
      <c r="X21" s="125">
        <v>0.42553246675842238</v>
      </c>
      <c r="Y21" s="125">
        <v>0.3937816429868452</v>
      </c>
      <c r="Z21" s="125">
        <v>1.0806305330303014</v>
      </c>
      <c r="AA21" s="177">
        <v>0.34066363152509738</v>
      </c>
      <c r="AB21" s="125">
        <v>-0.66778064842914908</v>
      </c>
      <c r="AC21" s="125">
        <v>1.5188455819459938</v>
      </c>
      <c r="AD21" s="125">
        <v>-1.3874755761490856</v>
      </c>
      <c r="AE21" s="192">
        <v>2.2385405096659303</v>
      </c>
      <c r="AF21" s="114"/>
      <c r="AG21" s="32"/>
      <c r="AH21" s="32"/>
      <c r="AI21" s="32"/>
      <c r="AJ21" s="32"/>
      <c r="AK21" s="32"/>
      <c r="AL21" s="32"/>
      <c r="AM21" s="32"/>
      <c r="AN21" s="32"/>
      <c r="AO21" s="32"/>
      <c r="AP21" s="115"/>
    </row>
    <row r="22" spans="1:42" x14ac:dyDescent="0.25">
      <c r="W22" s="166" t="s">
        <v>805</v>
      </c>
      <c r="X22" s="125">
        <v>-0.35774803898059343</v>
      </c>
      <c r="Y22" s="125">
        <v>1.6377695640238388</v>
      </c>
      <c r="Z22" s="125">
        <v>-0.21843612608213434</v>
      </c>
      <c r="AA22" s="177">
        <v>0.83778128681791797</v>
      </c>
      <c r="AB22" s="125">
        <v>-4.9049253284565051</v>
      </c>
      <c r="AC22" s="125">
        <v>4.1894292504953174</v>
      </c>
      <c r="AD22" s="125">
        <v>-7.8981944891558635</v>
      </c>
      <c r="AE22" s="192">
        <v>7.1826984111946759</v>
      </c>
      <c r="AF22" s="114"/>
      <c r="AG22" s="32"/>
      <c r="AH22" s="32"/>
      <c r="AI22" s="32"/>
      <c r="AJ22" s="32"/>
      <c r="AK22" s="32"/>
      <c r="AL22" s="32"/>
      <c r="AM22" s="32"/>
      <c r="AN22" s="32"/>
      <c r="AO22" s="32"/>
      <c r="AP22" s="115"/>
    </row>
    <row r="23" spans="1:42" ht="15.75" thickBot="1" x14ac:dyDescent="0.3">
      <c r="W23" s="167" t="s">
        <v>804</v>
      </c>
      <c r="X23" s="126">
        <v>-7.8054714951335145E-3</v>
      </c>
      <c r="Y23" s="126">
        <v>1.9563560735307497</v>
      </c>
      <c r="Z23" s="126">
        <v>-3.9898010391567042E-3</v>
      </c>
      <c r="AA23" s="175">
        <v>0.99700765914429368</v>
      </c>
      <c r="AB23" s="126">
        <v>-5.4395207158735586</v>
      </c>
      <c r="AC23" s="126">
        <v>5.4239097728832908</v>
      </c>
      <c r="AD23" s="126">
        <v>-9.015054436172468</v>
      </c>
      <c r="AE23" s="193">
        <v>8.9994434931822003</v>
      </c>
      <c r="AF23" s="116"/>
      <c r="AG23" s="169"/>
      <c r="AH23" s="169"/>
      <c r="AI23" s="169"/>
      <c r="AJ23" s="169"/>
      <c r="AK23" s="169"/>
      <c r="AL23" s="169"/>
      <c r="AM23" s="169"/>
      <c r="AN23" s="169"/>
      <c r="AO23" s="169"/>
      <c r="AP23" s="170"/>
    </row>
    <row r="24" spans="1:42" x14ac:dyDescent="0.25">
      <c r="W24" s="171" t="s">
        <v>810</v>
      </c>
      <c r="X24" s="163"/>
      <c r="Y24" s="163"/>
      <c r="Z24" s="163"/>
      <c r="AA24" s="163"/>
      <c r="AB24" s="163"/>
      <c r="AC24" s="163"/>
      <c r="AD24" s="163"/>
      <c r="AE24" s="113"/>
      <c r="AF24" s="171" t="s">
        <v>788</v>
      </c>
      <c r="AG24" s="163"/>
      <c r="AH24" s="163"/>
      <c r="AI24" s="163"/>
      <c r="AJ24" s="163"/>
      <c r="AK24" s="163"/>
      <c r="AL24" s="163"/>
      <c r="AM24" s="163"/>
      <c r="AN24" s="163"/>
      <c r="AO24" s="163"/>
      <c r="AP24" s="113"/>
    </row>
    <row r="25" spans="1:42" x14ac:dyDescent="0.25">
      <c r="W25" s="114" t="s">
        <v>740</v>
      </c>
      <c r="X25" s="32"/>
      <c r="Y25" s="32"/>
      <c r="Z25" s="32"/>
      <c r="AA25" s="32"/>
      <c r="AB25" s="32"/>
      <c r="AC25" s="32"/>
      <c r="AD25" s="32"/>
      <c r="AE25" s="115"/>
      <c r="AF25" s="114" t="s">
        <v>740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115"/>
    </row>
    <row r="26" spans="1:42" ht="15.75" thickBot="1" x14ac:dyDescent="0.3">
      <c r="A26" s="29" t="s">
        <v>745</v>
      </c>
      <c r="K26" s="50"/>
      <c r="W26" s="114"/>
      <c r="X26" s="32"/>
      <c r="Y26" s="32"/>
      <c r="Z26" s="32"/>
      <c r="AA26" s="32"/>
      <c r="AB26" s="32"/>
      <c r="AC26" s="32"/>
      <c r="AD26" s="32"/>
      <c r="AE26" s="115"/>
      <c r="AF26" s="114"/>
      <c r="AG26" s="32"/>
      <c r="AH26" s="32"/>
      <c r="AI26" s="32"/>
      <c r="AJ26" s="32"/>
      <c r="AK26" s="32"/>
      <c r="AL26" s="32"/>
      <c r="AM26" s="32"/>
      <c r="AN26" s="32"/>
      <c r="AO26" s="32"/>
      <c r="AP26" s="115"/>
    </row>
    <row r="27" spans="1:42" x14ac:dyDescent="0.25">
      <c r="A27" t="s">
        <v>718</v>
      </c>
      <c r="B27">
        <v>2025</v>
      </c>
      <c r="C27">
        <v>2026</v>
      </c>
      <c r="D27">
        <v>2027</v>
      </c>
      <c r="E27">
        <v>2028</v>
      </c>
      <c r="F27">
        <v>2029</v>
      </c>
      <c r="G27">
        <v>2030</v>
      </c>
      <c r="H27">
        <v>2031</v>
      </c>
      <c r="I27">
        <v>2032</v>
      </c>
      <c r="J27">
        <v>2033</v>
      </c>
      <c r="K27">
        <v>2034</v>
      </c>
      <c r="W27" s="165" t="s">
        <v>684</v>
      </c>
      <c r="X27" s="128"/>
      <c r="Y27" s="32"/>
      <c r="Z27" s="32"/>
      <c r="AA27" s="32"/>
      <c r="AB27" s="32"/>
      <c r="AC27" s="32"/>
      <c r="AD27" s="32"/>
      <c r="AE27" s="115"/>
      <c r="AF27" s="165" t="s">
        <v>684</v>
      </c>
      <c r="AG27" s="128"/>
      <c r="AH27" s="32"/>
      <c r="AI27" s="32"/>
      <c r="AJ27" s="287" t="s">
        <v>744</v>
      </c>
      <c r="AK27" s="287"/>
      <c r="AL27" s="287"/>
      <c r="AM27" s="287"/>
      <c r="AN27" s="287"/>
      <c r="AO27" s="287"/>
      <c r="AP27" s="115"/>
    </row>
    <row r="28" spans="1:42" x14ac:dyDescent="0.25">
      <c r="A28" t="s">
        <v>803</v>
      </c>
      <c r="B28" s="50">
        <f>$AG$41+($AG$42*K5)</f>
        <v>9.6824168473546965</v>
      </c>
      <c r="C28" s="50">
        <f t="shared" ref="C28:K28" si="1">$AG$41+($AG$42*L5)</f>
        <v>8.4566592048382407</v>
      </c>
      <c r="D28" s="50">
        <f t="shared" si="1"/>
        <v>7.4555790657670897</v>
      </c>
      <c r="E28" s="50">
        <f t="shared" si="1"/>
        <v>6.6379937535635323</v>
      </c>
      <c r="F28" s="50">
        <f t="shared" si="1"/>
        <v>5.9702692461617524</v>
      </c>
      <c r="G28" s="50">
        <f t="shared" si="1"/>
        <v>5.4249365314836027</v>
      </c>
      <c r="H28" s="50">
        <f t="shared" si="1"/>
        <v>4.9795615805844315</v>
      </c>
      <c r="I28" s="50">
        <f t="shared" si="1"/>
        <v>4.6158224511512955</v>
      </c>
      <c r="J28" s="50">
        <f t="shared" si="1"/>
        <v>4.3187555550143175</v>
      </c>
      <c r="K28" s="50">
        <f t="shared" si="1"/>
        <v>4.0761400824420155</v>
      </c>
      <c r="W28" s="166" t="s">
        <v>685</v>
      </c>
      <c r="X28" s="125">
        <v>0.84951367554797952</v>
      </c>
      <c r="Y28" s="32"/>
      <c r="Z28" s="32"/>
      <c r="AA28" s="32"/>
      <c r="AB28" s="32"/>
      <c r="AC28" s="32"/>
      <c r="AD28" s="32"/>
      <c r="AE28" s="115"/>
      <c r="AF28" s="166" t="s">
        <v>685</v>
      </c>
      <c r="AG28" s="125">
        <v>0.84951069282291392</v>
      </c>
      <c r="AH28" s="32"/>
      <c r="AI28" s="32"/>
      <c r="AJ28" s="287"/>
      <c r="AK28" s="287"/>
      <c r="AL28" s="287"/>
      <c r="AM28" s="287"/>
      <c r="AN28" s="287"/>
      <c r="AO28" s="287"/>
      <c r="AP28" s="115"/>
    </row>
    <row r="29" spans="1:42" x14ac:dyDescent="0.25">
      <c r="W29" s="166" t="s">
        <v>686</v>
      </c>
      <c r="X29" s="125">
        <v>0.72167348494303785</v>
      </c>
      <c r="Y29" s="32"/>
      <c r="Z29" s="32"/>
      <c r="AA29" s="32"/>
      <c r="AB29" s="32"/>
      <c r="AC29" s="32"/>
      <c r="AD29" s="32"/>
      <c r="AE29" s="115"/>
      <c r="AF29" s="166" t="s">
        <v>686</v>
      </c>
      <c r="AG29" s="125">
        <v>0.72166841722046715</v>
      </c>
      <c r="AH29" s="32"/>
      <c r="AI29" s="32"/>
      <c r="AJ29" s="287"/>
      <c r="AK29" s="287"/>
      <c r="AL29" s="287"/>
      <c r="AM29" s="287"/>
      <c r="AN29" s="287"/>
      <c r="AO29" s="287"/>
      <c r="AP29" s="115"/>
    </row>
    <row r="30" spans="1:42" x14ac:dyDescent="0.25">
      <c r="W30" s="166" t="s">
        <v>687</v>
      </c>
      <c r="X30" s="125">
        <v>0.6288979799240505</v>
      </c>
      <c r="Y30" s="32"/>
      <c r="Z30" s="32"/>
      <c r="AA30" s="32"/>
      <c r="AB30" s="32"/>
      <c r="AC30" s="32"/>
      <c r="AD30" s="32"/>
      <c r="AE30" s="115"/>
      <c r="AF30" s="173" t="s">
        <v>687</v>
      </c>
      <c r="AG30" s="129">
        <v>0.68190676253767679</v>
      </c>
      <c r="AH30" s="32"/>
      <c r="AI30" s="32"/>
      <c r="AJ30" s="287"/>
      <c r="AK30" s="287"/>
      <c r="AL30" s="287"/>
      <c r="AM30" s="287"/>
      <c r="AN30" s="287"/>
      <c r="AO30" s="287"/>
      <c r="AP30" s="115"/>
    </row>
    <row r="31" spans="1:42" x14ac:dyDescent="0.25">
      <c r="W31" s="166" t="s">
        <v>688</v>
      </c>
      <c r="X31" s="125">
        <v>1.8103482201443453</v>
      </c>
      <c r="Y31" s="32"/>
      <c r="Z31" s="32"/>
      <c r="AA31" s="32"/>
      <c r="AB31" s="32"/>
      <c r="AC31" s="32"/>
      <c r="AD31" s="32"/>
      <c r="AE31" s="115"/>
      <c r="AF31" s="166" t="s">
        <v>688</v>
      </c>
      <c r="AG31" s="125">
        <v>1.6760720284081176</v>
      </c>
      <c r="AH31" s="32"/>
      <c r="AI31" s="32"/>
      <c r="AJ31" s="32"/>
      <c r="AK31" s="32"/>
      <c r="AL31" s="32"/>
      <c r="AM31" s="32"/>
      <c r="AN31" s="32"/>
      <c r="AO31" s="32"/>
      <c r="AP31" s="115"/>
    </row>
    <row r="32" spans="1:42" ht="15.75" thickBot="1" x14ac:dyDescent="0.3">
      <c r="W32" s="167" t="s">
        <v>689</v>
      </c>
      <c r="X32" s="126">
        <v>9</v>
      </c>
      <c r="Y32" s="32"/>
      <c r="Z32" s="32"/>
      <c r="AA32" s="32"/>
      <c r="AB32" s="32"/>
      <c r="AC32" s="32"/>
      <c r="AD32" s="32"/>
      <c r="AE32" s="115"/>
      <c r="AF32" s="167" t="s">
        <v>689</v>
      </c>
      <c r="AG32" s="126">
        <v>9</v>
      </c>
      <c r="AH32" s="32"/>
      <c r="AI32" s="32"/>
      <c r="AJ32" s="32"/>
      <c r="AK32" s="32"/>
      <c r="AL32" s="32"/>
      <c r="AM32" s="32"/>
      <c r="AN32" s="32"/>
      <c r="AO32" s="32"/>
      <c r="AP32" s="115"/>
    </row>
    <row r="33" spans="23:42" x14ac:dyDescent="0.25">
      <c r="W33" s="114"/>
      <c r="X33" s="32"/>
      <c r="Y33" s="32"/>
      <c r="Z33" s="32"/>
      <c r="AA33" s="32"/>
      <c r="AB33" s="32"/>
      <c r="AC33" s="32"/>
      <c r="AD33" s="32"/>
      <c r="AE33" s="115"/>
      <c r="AF33" s="114"/>
      <c r="AG33" s="32"/>
      <c r="AH33" s="32"/>
      <c r="AI33" s="32"/>
      <c r="AJ33" s="32"/>
      <c r="AK33" s="32"/>
      <c r="AL33" s="32"/>
      <c r="AM33" s="32"/>
      <c r="AN33" s="32"/>
      <c r="AO33" s="32"/>
      <c r="AP33" s="115"/>
    </row>
    <row r="34" spans="23:42" ht="15.75" thickBot="1" x14ac:dyDescent="0.3">
      <c r="W34" s="114" t="s">
        <v>690</v>
      </c>
      <c r="X34" s="32"/>
      <c r="Y34" s="32"/>
      <c r="Z34" s="32"/>
      <c r="AA34" s="32"/>
      <c r="AB34" s="32"/>
      <c r="AC34" s="32"/>
      <c r="AD34" s="32"/>
      <c r="AE34" s="115"/>
      <c r="AF34" s="114" t="s">
        <v>690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115"/>
    </row>
    <row r="35" spans="23:42" x14ac:dyDescent="0.25">
      <c r="W35" s="168"/>
      <c r="X35" s="127" t="s">
        <v>695</v>
      </c>
      <c r="Y35" s="127" t="s">
        <v>696</v>
      </c>
      <c r="Z35" s="127" t="s">
        <v>697</v>
      </c>
      <c r="AA35" s="127" t="s">
        <v>698</v>
      </c>
      <c r="AB35" s="127" t="s">
        <v>699</v>
      </c>
      <c r="AC35" s="32"/>
      <c r="AD35" s="32"/>
      <c r="AE35" s="115"/>
      <c r="AF35" s="168"/>
      <c r="AG35" s="127" t="s">
        <v>695</v>
      </c>
      <c r="AH35" s="127" t="s">
        <v>696</v>
      </c>
      <c r="AI35" s="127" t="s">
        <v>697</v>
      </c>
      <c r="AJ35" s="127" t="s">
        <v>698</v>
      </c>
      <c r="AK35" s="127" t="s">
        <v>699</v>
      </c>
      <c r="AL35" s="32"/>
      <c r="AM35" s="32"/>
      <c r="AN35" s="32"/>
      <c r="AO35" s="32"/>
      <c r="AP35" s="115"/>
    </row>
    <row r="36" spans="23:42" x14ac:dyDescent="0.25">
      <c r="W36" s="166" t="s">
        <v>691</v>
      </c>
      <c r="X36" s="125">
        <v>2</v>
      </c>
      <c r="Y36" s="125">
        <v>50.987257930921217</v>
      </c>
      <c r="Z36" s="125">
        <v>25.493628965460609</v>
      </c>
      <c r="AA36" s="125">
        <v>7.7787071576203264</v>
      </c>
      <c r="AB36" s="125">
        <v>2.1560744118273991E-2</v>
      </c>
      <c r="AC36" s="32"/>
      <c r="AD36" s="32"/>
      <c r="AE36" s="115"/>
      <c r="AF36" s="166" t="s">
        <v>691</v>
      </c>
      <c r="AG36" s="125">
        <v>1</v>
      </c>
      <c r="AH36" s="125">
        <v>50.9868998891153</v>
      </c>
      <c r="AI36" s="125">
        <v>50.9868998891153</v>
      </c>
      <c r="AJ36" s="125">
        <v>18.149858776697712</v>
      </c>
      <c r="AK36" s="125">
        <v>3.7453651275948948E-3</v>
      </c>
      <c r="AL36" s="32"/>
      <c r="AM36" s="32"/>
      <c r="AN36" s="32"/>
      <c r="AO36" s="32"/>
      <c r="AP36" s="115"/>
    </row>
    <row r="37" spans="23:42" x14ac:dyDescent="0.25">
      <c r="W37" s="166" t="s">
        <v>692</v>
      </c>
      <c r="X37" s="125">
        <v>6</v>
      </c>
      <c r="Y37" s="125">
        <v>19.664164069078794</v>
      </c>
      <c r="Z37" s="125">
        <v>3.2773606781797988</v>
      </c>
      <c r="AA37" s="125"/>
      <c r="AB37" s="125"/>
      <c r="AC37" s="32"/>
      <c r="AD37" s="32"/>
      <c r="AE37" s="115"/>
      <c r="AF37" s="166" t="s">
        <v>692</v>
      </c>
      <c r="AG37" s="125">
        <v>7</v>
      </c>
      <c r="AH37" s="125">
        <v>19.664522110884711</v>
      </c>
      <c r="AI37" s="125">
        <v>2.8092174444121016</v>
      </c>
      <c r="AJ37" s="125"/>
      <c r="AK37" s="125"/>
      <c r="AL37" s="32"/>
      <c r="AM37" s="32"/>
      <c r="AN37" s="32"/>
      <c r="AO37" s="32"/>
      <c r="AP37" s="115"/>
    </row>
    <row r="38" spans="23:42" ht="15.75" thickBot="1" x14ac:dyDescent="0.3">
      <c r="W38" s="167" t="s">
        <v>693</v>
      </c>
      <c r="X38" s="126">
        <v>8</v>
      </c>
      <c r="Y38" s="126">
        <v>70.651422000000011</v>
      </c>
      <c r="Z38" s="126"/>
      <c r="AA38" s="126"/>
      <c r="AB38" s="126"/>
      <c r="AC38" s="32"/>
      <c r="AD38" s="32"/>
      <c r="AE38" s="115"/>
      <c r="AF38" s="167" t="s">
        <v>693</v>
      </c>
      <c r="AG38" s="126">
        <v>8</v>
      </c>
      <c r="AH38" s="126">
        <v>70.651422000000011</v>
      </c>
      <c r="AI38" s="126"/>
      <c r="AJ38" s="126"/>
      <c r="AK38" s="126"/>
      <c r="AL38" s="32"/>
      <c r="AM38" s="32"/>
      <c r="AN38" s="32"/>
      <c r="AO38" s="32"/>
      <c r="AP38" s="115"/>
    </row>
    <row r="39" spans="23:42" ht="15.75" thickBot="1" x14ac:dyDescent="0.3">
      <c r="W39" s="114"/>
      <c r="X39" s="32"/>
      <c r="Y39" s="32"/>
      <c r="Z39" s="32"/>
      <c r="AA39" s="32"/>
      <c r="AB39" s="32"/>
      <c r="AC39" s="32"/>
      <c r="AD39" s="32"/>
      <c r="AE39" s="115"/>
      <c r="AF39" s="114"/>
      <c r="AG39" s="32"/>
      <c r="AH39" s="32"/>
      <c r="AI39" s="32"/>
      <c r="AJ39" s="32"/>
      <c r="AK39" s="32"/>
      <c r="AL39" s="32"/>
      <c r="AM39" s="32"/>
      <c r="AN39" s="32"/>
      <c r="AO39" s="32"/>
      <c r="AP39" s="115"/>
    </row>
    <row r="40" spans="23:42" x14ac:dyDescent="0.25">
      <c r="W40" s="168"/>
      <c r="X40" s="127" t="s">
        <v>700</v>
      </c>
      <c r="Y40" s="127" t="s">
        <v>688</v>
      </c>
      <c r="Z40" s="127" t="s">
        <v>701</v>
      </c>
      <c r="AA40" s="127" t="s">
        <v>702</v>
      </c>
      <c r="AB40" s="127" t="s">
        <v>703</v>
      </c>
      <c r="AC40" s="127" t="s">
        <v>704</v>
      </c>
      <c r="AD40" s="127" t="s">
        <v>705</v>
      </c>
      <c r="AE40" s="191" t="s">
        <v>706</v>
      </c>
      <c r="AF40" s="168"/>
      <c r="AG40" s="127" t="s">
        <v>700</v>
      </c>
      <c r="AH40" s="127" t="s">
        <v>688</v>
      </c>
      <c r="AI40" s="127" t="s">
        <v>701</v>
      </c>
      <c r="AJ40" s="127" t="s">
        <v>702</v>
      </c>
      <c r="AK40" s="127" t="s">
        <v>703</v>
      </c>
      <c r="AL40" s="127" t="s">
        <v>704</v>
      </c>
      <c r="AM40" s="127" t="s">
        <v>705</v>
      </c>
      <c r="AN40" s="127" t="s">
        <v>706</v>
      </c>
      <c r="AO40" s="32"/>
      <c r="AP40" s="115"/>
    </row>
    <row r="41" spans="23:42" x14ac:dyDescent="0.25">
      <c r="W41" s="166" t="s">
        <v>694</v>
      </c>
      <c r="X41" s="125">
        <v>3.0060957513711224</v>
      </c>
      <c r="Y41" s="125">
        <v>1.2405422315428056</v>
      </c>
      <c r="Z41" s="125">
        <v>2.4232111369820748</v>
      </c>
      <c r="AA41" s="177">
        <v>5.1637028378324394E-2</v>
      </c>
      <c r="AB41" s="125">
        <v>-2.9401736836795589E-2</v>
      </c>
      <c r="AC41" s="125">
        <v>6.0415932395790399</v>
      </c>
      <c r="AD41" s="125">
        <v>-1.5931252794874475</v>
      </c>
      <c r="AE41" s="192">
        <v>7.6053167822296928</v>
      </c>
      <c r="AF41" s="166" t="s">
        <v>694</v>
      </c>
      <c r="AG41" s="125">
        <v>2.9951349648886358</v>
      </c>
      <c r="AH41" s="125">
        <v>0.61359858442381121</v>
      </c>
      <c r="AI41" s="125">
        <v>4.8812612038555532</v>
      </c>
      <c r="AJ41" s="129">
        <v>1.7910361151778872E-3</v>
      </c>
      <c r="AK41" s="125">
        <v>1.5442048714170891</v>
      </c>
      <c r="AL41" s="125">
        <v>4.4460650583601824</v>
      </c>
      <c r="AM41" s="125">
        <v>0.84785696741960104</v>
      </c>
      <c r="AN41" s="125">
        <v>5.1424129623576711</v>
      </c>
      <c r="AO41" s="32"/>
      <c r="AP41" s="115"/>
    </row>
    <row r="42" spans="23:42" ht="15.75" thickBot="1" x14ac:dyDescent="0.3">
      <c r="W42" s="166" t="s">
        <v>307</v>
      </c>
      <c r="X42" s="125">
        <v>0.253327392473567</v>
      </c>
      <c r="Y42" s="125">
        <v>6.8202666268491238E-2</v>
      </c>
      <c r="Z42" s="125">
        <v>3.7143326842428892</v>
      </c>
      <c r="AA42" s="125">
        <v>9.9186182351026844E-3</v>
      </c>
      <c r="AB42" s="125">
        <v>8.6441480101510537E-2</v>
      </c>
      <c r="AC42" s="125">
        <v>0.42021330484562347</v>
      </c>
      <c r="AD42" s="125">
        <v>4.7091642070024031E-4</v>
      </c>
      <c r="AE42" s="192">
        <v>0.50618386852643371</v>
      </c>
      <c r="AF42" s="167" t="s">
        <v>307</v>
      </c>
      <c r="AG42" s="126">
        <v>0.2535654602231851</v>
      </c>
      <c r="AH42" s="126">
        <v>5.9518704562081276E-2</v>
      </c>
      <c r="AI42" s="126">
        <v>4.2602651063868908</v>
      </c>
      <c r="AJ42" s="133">
        <v>3.7453651275948983E-3</v>
      </c>
      <c r="AK42" s="126">
        <v>0.11282608799230159</v>
      </c>
      <c r="AL42" s="126">
        <v>0.39430483245406861</v>
      </c>
      <c r="AM42" s="126">
        <v>4.5280747728243004E-2</v>
      </c>
      <c r="AN42" s="126">
        <v>0.46185017271812723</v>
      </c>
      <c r="AO42" s="32"/>
      <c r="AP42" s="115"/>
    </row>
    <row r="43" spans="23:42" ht="15.75" thickBot="1" x14ac:dyDescent="0.3">
      <c r="W43" s="167" t="s">
        <v>773</v>
      </c>
      <c r="X43" s="126">
        <v>-2.5293542581528685E-2</v>
      </c>
      <c r="Y43" s="126">
        <v>2.4199417384876174</v>
      </c>
      <c r="Z43" s="126">
        <v>-1.0452128734858014E-2</v>
      </c>
      <c r="AA43" s="175">
        <v>0.99199942553694209</v>
      </c>
      <c r="AB43" s="126">
        <v>-5.9466776615672403</v>
      </c>
      <c r="AC43" s="126">
        <v>5.8960905764041831</v>
      </c>
      <c r="AD43" s="126">
        <v>-8.9970533538239241</v>
      </c>
      <c r="AE43" s="193">
        <v>8.9464662686608651</v>
      </c>
      <c r="AF43" s="116"/>
      <c r="AG43" s="169"/>
      <c r="AH43" s="169"/>
      <c r="AI43" s="169"/>
      <c r="AJ43" s="169"/>
      <c r="AK43" s="169"/>
      <c r="AL43" s="169"/>
      <c r="AM43" s="169"/>
      <c r="AN43" s="169"/>
      <c r="AO43" s="169"/>
      <c r="AP43" s="170"/>
    </row>
  </sheetData>
  <mergeCells count="2">
    <mergeCell ref="W1:AP1"/>
    <mergeCell ref="AJ27:AO3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U72"/>
  <sheetViews>
    <sheetView topLeftCell="A13" workbookViewId="0">
      <selection activeCell="C8" sqref="C8"/>
    </sheetView>
  </sheetViews>
  <sheetFormatPr defaultRowHeight="15" x14ac:dyDescent="0.25"/>
  <cols>
    <col min="1" max="1" width="35.140625" customWidth="1"/>
    <col min="2" max="2" width="9.140625" customWidth="1"/>
    <col min="3" max="12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" ht="20.25" x14ac:dyDescent="0.25">
      <c r="A2" s="8" t="s">
        <v>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6" x14ac:dyDescent="0.25">
      <c r="A4" s="3" t="s">
        <v>31</v>
      </c>
      <c r="B4" s="3"/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57</v>
      </c>
    </row>
    <row r="5" spans="1:16" x14ac:dyDescent="0.25">
      <c r="A5" s="9" t="s">
        <v>9</v>
      </c>
      <c r="B5" s="9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824</v>
      </c>
    </row>
    <row r="6" spans="1:16" x14ac:dyDescent="0.25">
      <c r="A6" s="6" t="s">
        <v>49</v>
      </c>
      <c r="B6" s="6" t="s">
        <v>20</v>
      </c>
      <c r="C6" s="15">
        <v>31.353000000000002</v>
      </c>
      <c r="D6" s="15">
        <v>23.646000000000001</v>
      </c>
      <c r="E6" s="15">
        <v>33.683999999999997</v>
      </c>
      <c r="F6" s="15">
        <v>38.621000000000002</v>
      </c>
      <c r="G6" s="15">
        <v>35.93</v>
      </c>
      <c r="H6" s="15">
        <v>120.319</v>
      </c>
      <c r="I6" s="15">
        <v>72.058000000000007</v>
      </c>
      <c r="J6" s="15">
        <v>67.307000000000002</v>
      </c>
      <c r="K6" s="15">
        <v>85.998999999999995</v>
      </c>
      <c r="L6" s="18">
        <v>81.447000000000003</v>
      </c>
    </row>
    <row r="7" spans="1:16" x14ac:dyDescent="0.25">
      <c r="A7" s="10" t="s">
        <v>66</v>
      </c>
      <c r="B7" s="10" t="s">
        <v>67</v>
      </c>
      <c r="C7" s="12" t="s">
        <v>23</v>
      </c>
      <c r="D7" s="12">
        <v>23.646000000000001</v>
      </c>
      <c r="E7" s="12">
        <v>33.683999999999997</v>
      </c>
      <c r="F7" s="12">
        <v>38.621000000000002</v>
      </c>
      <c r="G7" s="12">
        <v>35.93</v>
      </c>
      <c r="H7" s="12">
        <v>120.319</v>
      </c>
      <c r="I7" s="12">
        <v>72.058000000000007</v>
      </c>
      <c r="J7" s="12">
        <v>67.307000000000002</v>
      </c>
      <c r="K7" s="12">
        <v>85.998999999999995</v>
      </c>
      <c r="L7" s="13">
        <v>81.447000000000003</v>
      </c>
    </row>
    <row r="8" spans="1:16" x14ac:dyDescent="0.25">
      <c r="A8" s="10" t="s">
        <v>68</v>
      </c>
      <c r="B8" s="10" t="s">
        <v>69</v>
      </c>
      <c r="C8" s="12">
        <v>14.175000000000001</v>
      </c>
      <c r="D8" s="12">
        <v>10.425000000000001</v>
      </c>
      <c r="E8" s="12">
        <v>10.028</v>
      </c>
      <c r="F8" s="12">
        <v>13.006</v>
      </c>
      <c r="G8" s="12">
        <v>12.631</v>
      </c>
      <c r="H8" s="12">
        <v>13.664999999999999</v>
      </c>
      <c r="I8" s="12">
        <v>27.51</v>
      </c>
      <c r="J8" s="12">
        <v>32.317999999999998</v>
      </c>
      <c r="K8" s="12">
        <v>38.091000000000001</v>
      </c>
      <c r="L8" s="144">
        <v>26.314</v>
      </c>
    </row>
    <row r="9" spans="1:16" x14ac:dyDescent="0.25">
      <c r="A9" s="10" t="s">
        <v>70</v>
      </c>
      <c r="B9" s="10" t="s">
        <v>71</v>
      </c>
      <c r="C9" s="12" t="s">
        <v>23</v>
      </c>
      <c r="D9" s="12">
        <v>10.425000000000001</v>
      </c>
      <c r="E9" s="12">
        <v>10.028</v>
      </c>
      <c r="F9" s="12">
        <v>13.006</v>
      </c>
      <c r="G9" s="12">
        <v>12.631</v>
      </c>
      <c r="H9" s="12">
        <v>13.664999999999999</v>
      </c>
      <c r="I9" s="12">
        <v>27.45</v>
      </c>
      <c r="J9" s="12">
        <v>32.273000000000003</v>
      </c>
      <c r="K9" s="12">
        <v>38.033999999999999</v>
      </c>
      <c r="L9" s="13">
        <v>26.273</v>
      </c>
    </row>
    <row r="10" spans="1:16" x14ac:dyDescent="0.25">
      <c r="A10" s="10" t="s">
        <v>72</v>
      </c>
      <c r="B10" s="10" t="s">
        <v>73</v>
      </c>
      <c r="C10" s="12" t="s">
        <v>23</v>
      </c>
      <c r="D10" s="12" t="s">
        <v>23</v>
      </c>
      <c r="E10" s="12" t="s">
        <v>23</v>
      </c>
      <c r="F10" s="12" t="s">
        <v>23</v>
      </c>
      <c r="G10" s="12" t="s">
        <v>23</v>
      </c>
      <c r="H10" s="12" t="s">
        <v>23</v>
      </c>
      <c r="I10" s="12">
        <v>0.06</v>
      </c>
      <c r="J10" s="12">
        <v>4.4999999999999998E-2</v>
      </c>
      <c r="K10" s="12">
        <v>5.7000000000000002E-2</v>
      </c>
      <c r="L10" s="13">
        <v>4.1000000000000002E-2</v>
      </c>
    </row>
    <row r="11" spans="1:16" x14ac:dyDescent="0.25">
      <c r="A11" s="6" t="s">
        <v>74</v>
      </c>
      <c r="B11" s="6" t="s">
        <v>21</v>
      </c>
      <c r="C11" s="15">
        <v>17.178000000000001</v>
      </c>
      <c r="D11" s="15">
        <v>13.221</v>
      </c>
      <c r="E11" s="15">
        <v>23.655999999999999</v>
      </c>
      <c r="F11" s="15">
        <v>25.614999999999998</v>
      </c>
      <c r="G11" s="15">
        <v>23.298999999999999</v>
      </c>
      <c r="H11" s="15">
        <v>106.654</v>
      </c>
      <c r="I11" s="15">
        <v>44.548000000000002</v>
      </c>
      <c r="J11" s="15">
        <v>34.988999999999997</v>
      </c>
      <c r="K11" s="15">
        <v>47.908000000000001</v>
      </c>
      <c r="L11" s="18">
        <v>55.133000000000003</v>
      </c>
    </row>
    <row r="12" spans="1:16" x14ac:dyDescent="0.25">
      <c r="A12" s="10" t="s">
        <v>75</v>
      </c>
      <c r="B12" s="10" t="s">
        <v>76</v>
      </c>
      <c r="C12" s="12" t="s">
        <v>23</v>
      </c>
      <c r="D12" s="12">
        <v>0</v>
      </c>
      <c r="E12" s="12">
        <v>0</v>
      </c>
      <c r="F12" s="12">
        <v>0</v>
      </c>
      <c r="G12" s="12">
        <v>0</v>
      </c>
      <c r="H12" s="12">
        <v>5.0000000000000001E-3</v>
      </c>
      <c r="I12" s="12">
        <v>0</v>
      </c>
      <c r="J12" s="12">
        <v>0</v>
      </c>
      <c r="K12" s="12">
        <v>0.109</v>
      </c>
      <c r="L12" s="13"/>
    </row>
    <row r="13" spans="1:16" x14ac:dyDescent="0.25">
      <c r="A13" s="10" t="s">
        <v>77</v>
      </c>
      <c r="B13" s="10" t="s">
        <v>78</v>
      </c>
      <c r="C13" s="12">
        <v>0.77900000000000003</v>
      </c>
      <c r="D13" s="12">
        <v>0.55500000000000005</v>
      </c>
      <c r="E13" s="12">
        <v>0.753</v>
      </c>
      <c r="F13" s="12">
        <v>0.65400000000000003</v>
      </c>
      <c r="G13" s="12">
        <v>4.1280000000000001</v>
      </c>
      <c r="H13" s="12">
        <v>3.4289999999999998</v>
      </c>
      <c r="I13" s="12">
        <v>6.2249999999999996</v>
      </c>
      <c r="J13" s="12">
        <v>4.8659999999999997</v>
      </c>
      <c r="K13" s="12">
        <v>4.3890000000000002</v>
      </c>
      <c r="L13" s="13">
        <v>5.0359999999999996</v>
      </c>
    </row>
    <row r="14" spans="1:16" x14ac:dyDescent="0.25">
      <c r="A14" s="10" t="s">
        <v>79</v>
      </c>
      <c r="B14" s="10" t="s">
        <v>80</v>
      </c>
      <c r="C14" s="12" t="s">
        <v>23</v>
      </c>
      <c r="D14" s="12">
        <v>0.55500000000000005</v>
      </c>
      <c r="E14" s="12">
        <v>0.753</v>
      </c>
      <c r="F14" s="12">
        <v>0.65400000000000003</v>
      </c>
      <c r="G14" s="12">
        <v>4.202</v>
      </c>
      <c r="H14" s="12">
        <v>3.3650000000000002</v>
      </c>
      <c r="I14" s="12">
        <v>6.1120000000000001</v>
      </c>
      <c r="J14" s="12">
        <v>4.7130000000000001</v>
      </c>
      <c r="K14" s="12">
        <v>4.2530000000000001</v>
      </c>
      <c r="L14" s="13">
        <v>4.9000000000000004</v>
      </c>
    </row>
    <row r="15" spans="1:16" x14ac:dyDescent="0.25">
      <c r="A15" s="11" t="s">
        <v>81</v>
      </c>
      <c r="B15" s="11" t="s">
        <v>82</v>
      </c>
      <c r="C15" s="20" t="s">
        <v>23</v>
      </c>
      <c r="D15" s="20" t="s">
        <v>23</v>
      </c>
      <c r="E15" s="20">
        <v>7.3999999999999996E-2</v>
      </c>
      <c r="F15" s="20">
        <v>9.5000000000000001E-2</v>
      </c>
      <c r="G15" s="20" t="s">
        <v>23</v>
      </c>
      <c r="H15" s="20" t="s">
        <v>23</v>
      </c>
      <c r="I15" s="20">
        <v>1.7999999999999999E-2</v>
      </c>
      <c r="J15" s="20">
        <v>0.185</v>
      </c>
      <c r="K15" s="20" t="s">
        <v>23</v>
      </c>
      <c r="L15" s="21">
        <v>6.7000000000000004E-2</v>
      </c>
      <c r="P15" s="141"/>
    </row>
    <row r="16" spans="1:16" x14ac:dyDescent="0.25">
      <c r="A16" s="11" t="s">
        <v>83</v>
      </c>
      <c r="B16" s="11" t="s">
        <v>84</v>
      </c>
      <c r="C16" s="20" t="s">
        <v>23</v>
      </c>
      <c r="D16" s="20">
        <v>0.55500000000000005</v>
      </c>
      <c r="E16" s="20">
        <v>0.67900000000000005</v>
      </c>
      <c r="F16" s="20">
        <v>0.55900000000000005</v>
      </c>
      <c r="G16" s="20">
        <v>4.202</v>
      </c>
      <c r="H16" s="20">
        <v>3.3650000000000002</v>
      </c>
      <c r="I16" s="20">
        <v>6.0940000000000003</v>
      </c>
      <c r="J16" s="20">
        <v>4.5279999999999996</v>
      </c>
      <c r="K16" s="20">
        <v>4.2530000000000001</v>
      </c>
      <c r="L16" s="21">
        <v>4.8330000000000002</v>
      </c>
    </row>
    <row r="17" spans="1:21" x14ac:dyDescent="0.25">
      <c r="A17" s="10" t="s">
        <v>85</v>
      </c>
      <c r="B17" s="10" t="s">
        <v>86</v>
      </c>
      <c r="C17" s="12" t="s">
        <v>23</v>
      </c>
      <c r="D17" s="12">
        <v>0.33400000000000002</v>
      </c>
      <c r="E17" s="12">
        <v>0.35499999999999998</v>
      </c>
      <c r="F17" s="12">
        <v>0.39300000000000002</v>
      </c>
      <c r="G17" s="12">
        <v>0.38</v>
      </c>
      <c r="H17" s="12">
        <v>0.44900000000000001</v>
      </c>
      <c r="I17" s="12">
        <v>0.53900000000000003</v>
      </c>
      <c r="J17" s="12">
        <v>0.65700000000000003</v>
      </c>
      <c r="K17" s="12">
        <v>0.60399999999999998</v>
      </c>
      <c r="L17" s="13"/>
    </row>
    <row r="18" spans="1:21" x14ac:dyDescent="0.25">
      <c r="A18" s="10" t="s">
        <v>72</v>
      </c>
      <c r="B18" s="10" t="s">
        <v>87</v>
      </c>
      <c r="C18" s="12" t="s">
        <v>23</v>
      </c>
      <c r="D18" s="12" t="s">
        <v>23</v>
      </c>
      <c r="E18" s="12" t="s">
        <v>23</v>
      </c>
      <c r="F18" s="12" t="s">
        <v>23</v>
      </c>
      <c r="G18" s="12" t="s">
        <v>23</v>
      </c>
      <c r="H18" s="12">
        <v>6.4000000000000001E-2</v>
      </c>
      <c r="I18" s="12">
        <v>0.113</v>
      </c>
      <c r="J18" s="12">
        <v>0.153</v>
      </c>
      <c r="K18" s="12">
        <v>0.13600000000000001</v>
      </c>
      <c r="L18" s="13">
        <v>0.125</v>
      </c>
    </row>
    <row r="19" spans="1:21" x14ac:dyDescent="0.25">
      <c r="A19" s="10" t="s">
        <v>88</v>
      </c>
      <c r="B19" s="10" t="s">
        <v>89</v>
      </c>
      <c r="C19" s="12" t="s">
        <v>23</v>
      </c>
      <c r="D19" s="12">
        <v>-0.33400000000000002</v>
      </c>
      <c r="E19" s="12">
        <v>-0.35499999999999998</v>
      </c>
      <c r="F19" s="12">
        <v>-0.39300000000000002</v>
      </c>
      <c r="G19" s="12">
        <v>-0.45400000000000001</v>
      </c>
      <c r="H19" s="12">
        <v>-0.44900000000000001</v>
      </c>
      <c r="I19" s="12">
        <v>-0.53900000000000003</v>
      </c>
      <c r="J19" s="12">
        <v>-0.65700000000000003</v>
      </c>
      <c r="K19" s="12">
        <v>-0.60399999999999998</v>
      </c>
      <c r="L19" s="13">
        <v>1.0999999999999999E-2</v>
      </c>
    </row>
    <row r="20" spans="1:21" x14ac:dyDescent="0.25">
      <c r="A20" s="6" t="s">
        <v>90</v>
      </c>
      <c r="B20" s="6" t="s">
        <v>34</v>
      </c>
      <c r="C20" s="15">
        <v>16.399000000000001</v>
      </c>
      <c r="D20" s="15">
        <v>12.666</v>
      </c>
      <c r="E20" s="15">
        <v>22.902999999999999</v>
      </c>
      <c r="F20" s="15">
        <v>24.960999999999999</v>
      </c>
      <c r="G20" s="15">
        <v>19.170999999999999</v>
      </c>
      <c r="H20" s="15">
        <v>103.23</v>
      </c>
      <c r="I20" s="15">
        <v>38.323</v>
      </c>
      <c r="J20" s="15">
        <v>30.123000000000001</v>
      </c>
      <c r="K20" s="145">
        <v>43.628</v>
      </c>
      <c r="L20" s="18">
        <v>50.097000000000001</v>
      </c>
      <c r="M20" s="29" t="s">
        <v>681</v>
      </c>
      <c r="N20" s="25"/>
    </row>
    <row r="21" spans="1:21" x14ac:dyDescent="0.25">
      <c r="A21" s="80" t="s">
        <v>91</v>
      </c>
      <c r="B21" s="80" t="s">
        <v>92</v>
      </c>
      <c r="C21" s="79" t="s">
        <v>23</v>
      </c>
      <c r="D21" s="207">
        <v>-2.278</v>
      </c>
      <c r="E21" s="207">
        <v>-1.4019999999999999</v>
      </c>
      <c r="F21" s="207">
        <v>-2.3929999999999998</v>
      </c>
      <c r="G21" s="207">
        <v>-1.264</v>
      </c>
      <c r="H21" s="207">
        <v>-0.93400000000000005</v>
      </c>
      <c r="I21" s="207">
        <v>-2.8239999999999998</v>
      </c>
      <c r="J21" s="207">
        <v>-1.71</v>
      </c>
      <c r="K21" s="207">
        <v>-1.0629999999999999</v>
      </c>
      <c r="L21" s="208">
        <v>0.73</v>
      </c>
      <c r="N21" s="25"/>
      <c r="O21" s="25"/>
    </row>
    <row r="22" spans="1:21" x14ac:dyDescent="0.25">
      <c r="A22" s="80" t="s">
        <v>93</v>
      </c>
      <c r="B22" s="80" t="s">
        <v>94</v>
      </c>
      <c r="C22" s="207">
        <v>-5.26</v>
      </c>
      <c r="D22" s="207">
        <v>-2.4289999999999998</v>
      </c>
      <c r="E22" s="207">
        <v>-1.4910000000000001</v>
      </c>
      <c r="F22" s="207">
        <v>-2.3490000000000002</v>
      </c>
      <c r="G22" s="207">
        <v>-1.403</v>
      </c>
      <c r="H22" s="207">
        <v>-0.93799999999999994</v>
      </c>
      <c r="I22" s="207">
        <v>-2.9079999999999999</v>
      </c>
      <c r="J22" s="207">
        <v>-1.4339999999999999</v>
      </c>
      <c r="K22" s="207">
        <v>-1.64</v>
      </c>
      <c r="L22" s="208">
        <v>-1.101</v>
      </c>
      <c r="M22" s="58" t="s">
        <v>882</v>
      </c>
      <c r="N22" s="246"/>
      <c r="O22" s="58"/>
      <c r="P22" s="58"/>
      <c r="Q22" s="24"/>
      <c r="R22" s="24"/>
      <c r="S22" s="24"/>
    </row>
    <row r="23" spans="1:21" x14ac:dyDescent="0.25">
      <c r="A23" s="91" t="s">
        <v>95</v>
      </c>
      <c r="B23" s="91" t="s">
        <v>96</v>
      </c>
      <c r="C23" s="203">
        <v>0.192</v>
      </c>
      <c r="D23" s="203">
        <v>0.157</v>
      </c>
      <c r="E23" s="203">
        <v>0.121</v>
      </c>
      <c r="F23" s="203">
        <v>8.5999999999999993E-2</v>
      </c>
      <c r="G23" s="203">
        <v>5.2999999999999999E-2</v>
      </c>
      <c r="H23" s="203">
        <v>3.6999999999999998E-2</v>
      </c>
      <c r="I23" s="203">
        <v>2.5000000000000001E-2</v>
      </c>
      <c r="J23" s="203">
        <v>1.4E-2</v>
      </c>
      <c r="K23" s="203">
        <v>0.105</v>
      </c>
      <c r="L23" s="204">
        <v>1.3129999999999999</v>
      </c>
      <c r="M23" s="58" t="s">
        <v>881</v>
      </c>
      <c r="N23" s="246"/>
      <c r="O23" s="58"/>
      <c r="P23" s="58"/>
      <c r="Q23" s="24"/>
      <c r="R23" s="24"/>
      <c r="S23" s="24"/>
      <c r="T23" s="24"/>
      <c r="U23" s="24"/>
    </row>
    <row r="24" spans="1:21" x14ac:dyDescent="0.25">
      <c r="A24" s="91" t="s">
        <v>97</v>
      </c>
      <c r="B24" s="91" t="s">
        <v>98</v>
      </c>
      <c r="C24" s="203">
        <v>5.452</v>
      </c>
      <c r="D24" s="203">
        <v>2.5859999999999999</v>
      </c>
      <c r="E24" s="203">
        <v>1.6120000000000001</v>
      </c>
      <c r="F24" s="203">
        <v>2.4350000000000001</v>
      </c>
      <c r="G24" s="203">
        <v>1.456</v>
      </c>
      <c r="H24" s="203">
        <v>0.97499999999999998</v>
      </c>
      <c r="I24" s="203">
        <v>2.9329999999999998</v>
      </c>
      <c r="J24" s="203">
        <v>1.448</v>
      </c>
      <c r="K24" s="203">
        <v>1.7450000000000001</v>
      </c>
      <c r="L24" s="204">
        <v>2.4140000000000001</v>
      </c>
      <c r="M24" s="58" t="s">
        <v>707</v>
      </c>
      <c r="N24" s="58"/>
      <c r="O24" s="24"/>
      <c r="P24" s="24"/>
      <c r="Q24" s="24"/>
      <c r="R24" s="24"/>
      <c r="S24" s="24"/>
    </row>
    <row r="25" spans="1:21" x14ac:dyDescent="0.25">
      <c r="A25" s="10" t="s">
        <v>99</v>
      </c>
      <c r="B25" s="10" t="s">
        <v>100</v>
      </c>
      <c r="C25" s="205" t="s">
        <v>23</v>
      </c>
      <c r="D25" s="205">
        <v>0</v>
      </c>
      <c r="E25" s="205">
        <v>0</v>
      </c>
      <c r="F25" s="205">
        <v>0</v>
      </c>
      <c r="G25" s="205">
        <v>0</v>
      </c>
      <c r="H25" s="205">
        <v>0</v>
      </c>
      <c r="I25" s="205">
        <v>0</v>
      </c>
      <c r="J25" s="205">
        <v>0</v>
      </c>
      <c r="K25" s="205">
        <v>0.70599999999999996</v>
      </c>
      <c r="L25" s="206"/>
      <c r="M25" s="25"/>
    </row>
    <row r="26" spans="1:21" x14ac:dyDescent="0.25">
      <c r="A26" s="10" t="s">
        <v>101</v>
      </c>
      <c r="B26" s="10" t="s">
        <v>102</v>
      </c>
      <c r="C26" s="205" t="s">
        <v>23</v>
      </c>
      <c r="D26" s="205">
        <v>0</v>
      </c>
      <c r="E26" s="205">
        <v>0</v>
      </c>
      <c r="F26" s="205">
        <v>0</v>
      </c>
      <c r="G26" s="205">
        <v>0</v>
      </c>
      <c r="H26" s="205">
        <v>0</v>
      </c>
      <c r="I26" s="205">
        <v>0</v>
      </c>
      <c r="J26" s="205">
        <v>0</v>
      </c>
      <c r="K26" s="205">
        <v>0</v>
      </c>
      <c r="L26" s="206"/>
    </row>
    <row r="27" spans="1:21" x14ac:dyDescent="0.25">
      <c r="A27" s="10" t="s">
        <v>103</v>
      </c>
      <c r="B27" s="10" t="s">
        <v>104</v>
      </c>
      <c r="C27" s="205" t="s">
        <v>23</v>
      </c>
      <c r="D27" s="205">
        <v>0.151</v>
      </c>
      <c r="E27" s="205">
        <v>8.8999999999999996E-2</v>
      </c>
      <c r="F27" s="205">
        <v>-4.3999999999999997E-2</v>
      </c>
      <c r="G27" s="205">
        <v>0.13900000000000001</v>
      </c>
      <c r="H27" s="205">
        <v>4.0000000000000001E-3</v>
      </c>
      <c r="I27" s="205">
        <v>8.4000000000000005E-2</v>
      </c>
      <c r="J27" s="205">
        <v>-0.27600000000000002</v>
      </c>
      <c r="K27" s="205">
        <v>-0.129</v>
      </c>
      <c r="L27" s="206">
        <v>6.4829999999999997</v>
      </c>
    </row>
    <row r="28" spans="1:21" x14ac:dyDescent="0.25">
      <c r="A28" s="6" t="s">
        <v>105</v>
      </c>
      <c r="B28" s="6" t="s">
        <v>52</v>
      </c>
      <c r="C28" s="15">
        <v>21.236999999999998</v>
      </c>
      <c r="D28" s="15">
        <v>14.944000000000001</v>
      </c>
      <c r="E28" s="15">
        <v>24.305</v>
      </c>
      <c r="F28" s="15">
        <v>27.353999999999999</v>
      </c>
      <c r="G28" s="15">
        <v>20.434999999999999</v>
      </c>
      <c r="H28" s="15">
        <v>104.164</v>
      </c>
      <c r="I28" s="15">
        <v>41.146999999999998</v>
      </c>
      <c r="J28" s="15">
        <v>31.832999999999998</v>
      </c>
      <c r="K28" s="15">
        <v>44.691000000000003</v>
      </c>
      <c r="L28" s="18">
        <v>49.366999999999997</v>
      </c>
    </row>
    <row r="29" spans="1:21" x14ac:dyDescent="0.25">
      <c r="A29" s="10" t="s">
        <v>106</v>
      </c>
      <c r="B29" s="10" t="s">
        <v>107</v>
      </c>
      <c r="C29" s="12">
        <v>21.385999999999999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3">
        <v>2.9000000000000001E-2</v>
      </c>
    </row>
    <row r="30" spans="1:21" x14ac:dyDescent="0.25">
      <c r="A30" s="6" t="s">
        <v>108</v>
      </c>
      <c r="B30" s="6" t="s">
        <v>52</v>
      </c>
      <c r="C30" s="15">
        <v>21.236999999999998</v>
      </c>
      <c r="D30" s="15">
        <v>14.944000000000001</v>
      </c>
      <c r="E30" s="15">
        <v>24.305</v>
      </c>
      <c r="F30" s="15">
        <v>27.353999999999999</v>
      </c>
      <c r="G30" s="15">
        <v>20.434999999999999</v>
      </c>
      <c r="H30" s="15">
        <v>104.164</v>
      </c>
      <c r="I30" s="15">
        <v>41.146999999999998</v>
      </c>
      <c r="J30" s="15">
        <v>31.832999999999998</v>
      </c>
      <c r="K30" s="15">
        <v>44.691000000000003</v>
      </c>
      <c r="L30" s="18">
        <v>49.338000000000001</v>
      </c>
    </row>
    <row r="31" spans="1:21" x14ac:dyDescent="0.25">
      <c r="A31" s="80" t="s">
        <v>109</v>
      </c>
      <c r="B31" s="80" t="s">
        <v>110</v>
      </c>
      <c r="C31" s="79">
        <v>6.9489999999999998</v>
      </c>
      <c r="D31" s="79">
        <v>2.427</v>
      </c>
      <c r="E31" s="79">
        <v>1.6890000000000001</v>
      </c>
      <c r="F31" s="79">
        <v>2.097</v>
      </c>
      <c r="G31" s="79">
        <v>1.726</v>
      </c>
      <c r="H31" s="79">
        <v>4.3559999999999999</v>
      </c>
      <c r="I31" s="79">
        <v>3.657</v>
      </c>
      <c r="J31" s="79">
        <v>3.121</v>
      </c>
      <c r="K31" s="79">
        <v>10.662000000000001</v>
      </c>
      <c r="L31" s="90">
        <v>14.478</v>
      </c>
      <c r="M31" s="58" t="s">
        <v>677</v>
      </c>
      <c r="N31" s="58"/>
    </row>
    <row r="32" spans="1:21" x14ac:dyDescent="0.25">
      <c r="A32" s="10" t="s">
        <v>111</v>
      </c>
      <c r="B32" s="10" t="s">
        <v>112</v>
      </c>
      <c r="C32" s="12" t="s">
        <v>23</v>
      </c>
      <c r="D32" s="12">
        <v>2.0139999999999998</v>
      </c>
      <c r="E32" s="12">
        <v>1.7350000000000001</v>
      </c>
      <c r="F32" s="12">
        <v>2.1989999999999998</v>
      </c>
      <c r="G32" s="12">
        <v>1.859</v>
      </c>
      <c r="H32" s="12">
        <v>2.0329999999999999</v>
      </c>
      <c r="I32" s="12">
        <v>3.0990000000000002</v>
      </c>
      <c r="J32" s="12">
        <v>3.0739999999999998</v>
      </c>
      <c r="K32" s="12">
        <v>7.9470000000000001</v>
      </c>
      <c r="L32" s="13">
        <v>-0.48899999999999999</v>
      </c>
    </row>
    <row r="33" spans="1:12" x14ac:dyDescent="0.25">
      <c r="A33" s="10" t="s">
        <v>113</v>
      </c>
      <c r="B33" s="10" t="s">
        <v>114</v>
      </c>
      <c r="C33" s="12" t="s">
        <v>23</v>
      </c>
      <c r="D33" s="12">
        <v>0.41299999999999998</v>
      </c>
      <c r="E33" s="12">
        <v>-4.5999999999999999E-2</v>
      </c>
      <c r="F33" s="12">
        <v>-0.10199999999999999</v>
      </c>
      <c r="G33" s="12">
        <v>-0.13300000000000001</v>
      </c>
      <c r="H33" s="12">
        <v>2.323</v>
      </c>
      <c r="I33" s="12">
        <v>0.55800000000000005</v>
      </c>
      <c r="J33" s="12">
        <v>4.7E-2</v>
      </c>
      <c r="K33" s="12">
        <v>2.7149999999999999</v>
      </c>
      <c r="L33" s="13">
        <v>14.967000000000001</v>
      </c>
    </row>
    <row r="34" spans="1:12" x14ac:dyDescent="0.25">
      <c r="A34" s="6" t="s">
        <v>115</v>
      </c>
      <c r="B34" s="6" t="s">
        <v>116</v>
      </c>
      <c r="C34" s="15">
        <v>14.288</v>
      </c>
      <c r="D34" s="15">
        <v>12.516999999999999</v>
      </c>
      <c r="E34" s="15">
        <v>22.616</v>
      </c>
      <c r="F34" s="15">
        <v>25.257000000000001</v>
      </c>
      <c r="G34" s="15">
        <v>18.709</v>
      </c>
      <c r="H34" s="15">
        <v>99.808000000000007</v>
      </c>
      <c r="I34" s="15">
        <v>37.49</v>
      </c>
      <c r="J34" s="15">
        <v>28.712</v>
      </c>
      <c r="K34" s="15">
        <v>34.029000000000003</v>
      </c>
      <c r="L34" s="18">
        <v>34.86</v>
      </c>
    </row>
    <row r="35" spans="1:12" x14ac:dyDescent="0.25">
      <c r="A35" s="10" t="s">
        <v>117</v>
      </c>
      <c r="B35" s="10" t="s">
        <v>118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3">
        <v>0</v>
      </c>
    </row>
    <row r="36" spans="1:12" x14ac:dyDescent="0.25">
      <c r="A36" s="10" t="s">
        <v>119</v>
      </c>
      <c r="B36" s="10" t="s">
        <v>120</v>
      </c>
      <c r="C36" s="12" t="s">
        <v>23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3">
        <v>0</v>
      </c>
    </row>
    <row r="37" spans="1:12" x14ac:dyDescent="0.25">
      <c r="A37" s="10" t="s">
        <v>121</v>
      </c>
      <c r="B37" s="10" t="s">
        <v>122</v>
      </c>
      <c r="C37" s="12" t="s">
        <v>23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3">
        <v>0</v>
      </c>
    </row>
    <row r="38" spans="1:12" x14ac:dyDescent="0.25">
      <c r="A38" s="6" t="s">
        <v>123</v>
      </c>
      <c r="B38" s="6" t="s">
        <v>124</v>
      </c>
      <c r="C38" s="15">
        <v>14.288</v>
      </c>
      <c r="D38" s="15">
        <v>12.516999999999999</v>
      </c>
      <c r="E38" s="15">
        <v>22.616</v>
      </c>
      <c r="F38" s="15">
        <v>25.257000000000001</v>
      </c>
      <c r="G38" s="15">
        <v>18.709</v>
      </c>
      <c r="H38" s="15">
        <v>99.808000000000007</v>
      </c>
      <c r="I38" s="15">
        <v>37.49</v>
      </c>
      <c r="J38" s="15">
        <v>28.712</v>
      </c>
      <c r="K38" s="15">
        <v>34.029000000000003</v>
      </c>
      <c r="L38" s="18">
        <v>34.86</v>
      </c>
    </row>
    <row r="39" spans="1:12" x14ac:dyDescent="0.25">
      <c r="A39" s="10" t="s">
        <v>125</v>
      </c>
      <c r="B39" s="10" t="s">
        <v>126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3">
        <v>0</v>
      </c>
    </row>
    <row r="40" spans="1:12" x14ac:dyDescent="0.25">
      <c r="A40" s="6" t="s">
        <v>127</v>
      </c>
      <c r="B40" s="6" t="s">
        <v>128</v>
      </c>
      <c r="C40" s="15">
        <v>14.288</v>
      </c>
      <c r="D40" s="15">
        <v>12.516999999999999</v>
      </c>
      <c r="E40" s="15">
        <v>22.616</v>
      </c>
      <c r="F40" s="15">
        <v>25.257000000000001</v>
      </c>
      <c r="G40" s="15">
        <v>18.709</v>
      </c>
      <c r="H40" s="15">
        <v>99.808000000000007</v>
      </c>
      <c r="I40" s="15">
        <v>37.49</v>
      </c>
      <c r="J40" s="15">
        <v>28.712</v>
      </c>
      <c r="K40" s="15">
        <v>34.029000000000003</v>
      </c>
      <c r="L40" s="18">
        <v>34.86</v>
      </c>
    </row>
    <row r="41" spans="1:12" x14ac:dyDescent="0.25">
      <c r="A41" s="10" t="s">
        <v>129</v>
      </c>
      <c r="B41" s="10" t="s">
        <v>130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3">
        <v>0</v>
      </c>
    </row>
    <row r="42" spans="1:12" x14ac:dyDescent="0.25">
      <c r="A42" s="10" t="s">
        <v>131</v>
      </c>
      <c r="B42" s="10" t="s">
        <v>132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3">
        <v>0</v>
      </c>
    </row>
    <row r="43" spans="1:12" x14ac:dyDescent="0.25">
      <c r="A43" s="6" t="s">
        <v>133</v>
      </c>
      <c r="B43" s="6" t="s">
        <v>24</v>
      </c>
      <c r="C43" s="15">
        <v>14.288</v>
      </c>
      <c r="D43" s="15">
        <v>12.516999999999999</v>
      </c>
      <c r="E43" s="15">
        <v>22.616</v>
      </c>
      <c r="F43" s="15">
        <v>25.257000000000001</v>
      </c>
      <c r="G43" s="15">
        <v>18.709</v>
      </c>
      <c r="H43" s="15">
        <v>99.808000000000007</v>
      </c>
      <c r="I43" s="15">
        <v>37.49</v>
      </c>
      <c r="J43" s="15">
        <v>28.712</v>
      </c>
      <c r="K43" s="15">
        <v>34.029000000000003</v>
      </c>
      <c r="L43" s="18">
        <v>34.86</v>
      </c>
    </row>
    <row r="44" spans="1:12" x14ac:dyDescent="0.25">
      <c r="A44" s="6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7"/>
    </row>
    <row r="45" spans="1:12" x14ac:dyDescent="0.25">
      <c r="A45" s="6" t="s">
        <v>134</v>
      </c>
      <c r="B45" s="6" t="s">
        <v>24</v>
      </c>
      <c r="C45" s="15">
        <v>14.288</v>
      </c>
      <c r="D45" s="15">
        <v>12.516999999999999</v>
      </c>
      <c r="E45" s="15">
        <v>22.616</v>
      </c>
      <c r="F45" s="15">
        <v>25.257000000000001</v>
      </c>
      <c r="G45" s="15">
        <v>18.709</v>
      </c>
      <c r="H45" s="15">
        <v>99.808000000000007</v>
      </c>
      <c r="I45" s="15">
        <v>37.49</v>
      </c>
      <c r="J45" s="15">
        <v>28.712</v>
      </c>
      <c r="K45" s="15">
        <v>34.029000000000003</v>
      </c>
      <c r="L45" s="18">
        <v>34.87914</v>
      </c>
    </row>
    <row r="46" spans="1:12" x14ac:dyDescent="0.25">
      <c r="A46" s="10" t="s">
        <v>135</v>
      </c>
      <c r="B46" s="10" t="s">
        <v>136</v>
      </c>
      <c r="C46" s="12">
        <v>14.114800000000001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3">
        <v>1.9140000000000001E-2</v>
      </c>
    </row>
    <row r="47" spans="1:12" x14ac:dyDescent="0.25">
      <c r="A47" s="10" t="s">
        <v>137</v>
      </c>
      <c r="B47" s="10" t="s">
        <v>118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3">
        <v>0</v>
      </c>
    </row>
    <row r="48" spans="1:12" x14ac:dyDescent="0.25">
      <c r="A48" s="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7"/>
    </row>
    <row r="49" spans="1:12" x14ac:dyDescent="0.25">
      <c r="A49" s="10" t="s">
        <v>59</v>
      </c>
      <c r="B49" s="10" t="s">
        <v>37</v>
      </c>
      <c r="C49" s="12">
        <v>63.085000000000001</v>
      </c>
      <c r="D49" s="12">
        <v>33.085000000000001</v>
      </c>
      <c r="E49" s="12">
        <v>63.085000000000001</v>
      </c>
      <c r="F49" s="12">
        <v>63.085000000000001</v>
      </c>
      <c r="G49" s="12">
        <v>63.085000000000001</v>
      </c>
      <c r="H49" s="12">
        <v>63.085000000000001</v>
      </c>
      <c r="I49" s="12">
        <v>63.085000000000001</v>
      </c>
      <c r="J49" s="12">
        <v>63.085000000000001</v>
      </c>
      <c r="K49" s="12">
        <v>63.085000000000001</v>
      </c>
      <c r="L49" s="13">
        <v>63.085000000000001</v>
      </c>
    </row>
    <row r="50" spans="1:12" x14ac:dyDescent="0.25">
      <c r="A50" s="6" t="s">
        <v>138</v>
      </c>
      <c r="B50" s="6" t="s">
        <v>35</v>
      </c>
      <c r="C50" s="16">
        <v>0.22650000000000001</v>
      </c>
      <c r="D50" s="16">
        <v>0.37830000000000003</v>
      </c>
      <c r="E50" s="16">
        <v>0.36</v>
      </c>
      <c r="F50" s="16">
        <v>0.40039999999999998</v>
      </c>
      <c r="G50" s="16">
        <v>0.3</v>
      </c>
      <c r="H50" s="16">
        <v>1.5821000000000001</v>
      </c>
      <c r="I50" s="16">
        <v>0.59430000000000005</v>
      </c>
      <c r="J50" s="16">
        <v>0.4551</v>
      </c>
      <c r="K50" s="16">
        <v>0.54</v>
      </c>
      <c r="L50" s="19">
        <v>0.55259199999999997</v>
      </c>
    </row>
    <row r="51" spans="1:12" x14ac:dyDescent="0.25">
      <c r="A51" s="6" t="s">
        <v>139</v>
      </c>
      <c r="B51" s="6" t="s">
        <v>60</v>
      </c>
      <c r="C51" s="16">
        <v>0.22650000000000001</v>
      </c>
      <c r="D51" s="16">
        <v>0.37830000000000003</v>
      </c>
      <c r="E51" s="16">
        <v>0.36</v>
      </c>
      <c r="F51" s="16">
        <v>0.40039999999999998</v>
      </c>
      <c r="G51" s="16">
        <v>0.3</v>
      </c>
      <c r="H51" s="16">
        <v>1.5821000000000001</v>
      </c>
      <c r="I51" s="16">
        <v>0.59430000000000005</v>
      </c>
      <c r="J51" s="16">
        <v>0.4551</v>
      </c>
      <c r="K51" s="16">
        <v>0.54</v>
      </c>
      <c r="L51" s="19">
        <v>0.55259199999999997</v>
      </c>
    </row>
    <row r="52" spans="1:12" x14ac:dyDescent="0.25">
      <c r="A52" s="6" t="s">
        <v>140</v>
      </c>
      <c r="B52" s="6" t="s">
        <v>61</v>
      </c>
      <c r="C52" s="16">
        <v>0.45019999999999999</v>
      </c>
      <c r="D52" s="16">
        <v>0.37830000000000003</v>
      </c>
      <c r="E52" s="16">
        <v>0.36</v>
      </c>
      <c r="F52" s="16">
        <v>0.40039999999999998</v>
      </c>
      <c r="G52" s="16">
        <v>0.3</v>
      </c>
      <c r="H52" s="16">
        <v>1.5821000000000001</v>
      </c>
      <c r="I52" s="16">
        <v>0.59430000000000005</v>
      </c>
      <c r="J52" s="16">
        <v>0.4551</v>
      </c>
      <c r="K52" s="16">
        <v>0.54</v>
      </c>
      <c r="L52" s="19">
        <v>0.55289600000000005</v>
      </c>
    </row>
    <row r="53" spans="1:12" x14ac:dyDescent="0.25">
      <c r="A53" s="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7"/>
    </row>
    <row r="54" spans="1:12" x14ac:dyDescent="0.25">
      <c r="A54" s="10" t="s">
        <v>58</v>
      </c>
      <c r="B54" s="10" t="s">
        <v>38</v>
      </c>
      <c r="C54" s="12">
        <v>63.085000000000001</v>
      </c>
      <c r="D54" s="12">
        <v>33.085000000000001</v>
      </c>
      <c r="E54" s="12">
        <v>63.085000000000001</v>
      </c>
      <c r="F54" s="12">
        <v>63.085000000000001</v>
      </c>
      <c r="G54" s="12">
        <v>63.085000000000001</v>
      </c>
      <c r="H54" s="12">
        <v>63.085000000000001</v>
      </c>
      <c r="I54" s="12">
        <v>63.085000000000001</v>
      </c>
      <c r="J54" s="12">
        <v>63.085000000000001</v>
      </c>
      <c r="K54" s="12">
        <v>63.085000000000001</v>
      </c>
      <c r="L54" s="13">
        <v>63.085000000000001</v>
      </c>
    </row>
    <row r="55" spans="1:12" x14ac:dyDescent="0.25">
      <c r="A55" s="6" t="s">
        <v>141</v>
      </c>
      <c r="B55" s="6" t="s">
        <v>36</v>
      </c>
      <c r="C55" s="16">
        <v>0.22650000000000001</v>
      </c>
      <c r="D55" s="16">
        <v>0.37830000000000003</v>
      </c>
      <c r="E55" s="16">
        <v>0.36</v>
      </c>
      <c r="F55" s="16">
        <v>0.40039999999999998</v>
      </c>
      <c r="G55" s="16">
        <v>0.3</v>
      </c>
      <c r="H55" s="16">
        <v>1.5821000000000001</v>
      </c>
      <c r="I55" s="16">
        <v>0.59430000000000005</v>
      </c>
      <c r="J55" s="16">
        <v>0.4551</v>
      </c>
      <c r="K55" s="16">
        <v>0.54</v>
      </c>
      <c r="L55" s="19">
        <v>0.55004200000000003</v>
      </c>
    </row>
    <row r="56" spans="1:12" x14ac:dyDescent="0.25">
      <c r="A56" s="6" t="s">
        <v>142</v>
      </c>
      <c r="B56" s="6" t="s">
        <v>62</v>
      </c>
      <c r="C56" s="16">
        <v>0.22650000000000001</v>
      </c>
      <c r="D56" s="16">
        <v>0.37830000000000003</v>
      </c>
      <c r="E56" s="16">
        <v>0.36</v>
      </c>
      <c r="F56" s="16">
        <v>0.40039999999999998</v>
      </c>
      <c r="G56" s="16">
        <v>0.3</v>
      </c>
      <c r="H56" s="16">
        <v>1.5821000000000001</v>
      </c>
      <c r="I56" s="16">
        <v>0.59430000000000005</v>
      </c>
      <c r="J56" s="16">
        <v>0.4551</v>
      </c>
      <c r="K56" s="16">
        <v>0.54</v>
      </c>
      <c r="L56" s="19">
        <v>0.55004200000000003</v>
      </c>
    </row>
    <row r="57" spans="1:12" x14ac:dyDescent="0.25">
      <c r="A57" s="6" t="s">
        <v>143</v>
      </c>
      <c r="B57" s="6" t="s">
        <v>25</v>
      </c>
      <c r="C57" s="16">
        <v>0.45019999999999999</v>
      </c>
      <c r="D57" s="16">
        <v>0.37830000000000003</v>
      </c>
      <c r="E57" s="16">
        <v>0.36</v>
      </c>
      <c r="F57" s="16">
        <v>0.40039999999999998</v>
      </c>
      <c r="G57" s="16">
        <v>0.3</v>
      </c>
      <c r="H57" s="16">
        <v>1.5821000000000001</v>
      </c>
      <c r="I57" s="16">
        <v>0.59430000000000005</v>
      </c>
      <c r="J57" s="16">
        <v>0.4551</v>
      </c>
      <c r="K57" s="16">
        <v>0.54</v>
      </c>
      <c r="L57" s="19">
        <v>0.55289600000000005</v>
      </c>
    </row>
    <row r="58" spans="1:12" x14ac:dyDescent="0.25">
      <c r="A58" s="6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7"/>
    </row>
    <row r="59" spans="1:12" x14ac:dyDescent="0.25">
      <c r="A59" s="6" t="s">
        <v>55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7"/>
    </row>
    <row r="60" spans="1:12" x14ac:dyDescent="0.25">
      <c r="A60" s="6" t="s">
        <v>144</v>
      </c>
      <c r="B60" s="6" t="s">
        <v>145</v>
      </c>
      <c r="C60" s="14" t="s">
        <v>146</v>
      </c>
      <c r="D60" s="14" t="s">
        <v>146</v>
      </c>
      <c r="E60" s="14" t="s">
        <v>146</v>
      </c>
      <c r="F60" s="14" t="s">
        <v>146</v>
      </c>
      <c r="G60" s="14" t="s">
        <v>146</v>
      </c>
      <c r="H60" s="14" t="s">
        <v>146</v>
      </c>
      <c r="I60" s="14" t="s">
        <v>146</v>
      </c>
      <c r="J60" s="14" t="s">
        <v>146</v>
      </c>
      <c r="K60" s="14" t="s">
        <v>146</v>
      </c>
      <c r="L60" s="17"/>
    </row>
    <row r="61" spans="1:12" x14ac:dyDescent="0.25">
      <c r="A61" s="6" t="s">
        <v>22</v>
      </c>
      <c r="B61" s="6" t="s">
        <v>22</v>
      </c>
      <c r="C61" s="15" t="s">
        <v>23</v>
      </c>
      <c r="D61" s="222">
        <v>12.666</v>
      </c>
      <c r="E61" s="222">
        <v>22.902999999999999</v>
      </c>
      <c r="F61" s="222">
        <v>24.960999999999999</v>
      </c>
      <c r="G61" s="222">
        <v>19.302</v>
      </c>
      <c r="H61" s="222">
        <v>103.307</v>
      </c>
      <c r="I61" s="222">
        <v>38.496000000000002</v>
      </c>
      <c r="J61" s="222">
        <v>30.321000000000002</v>
      </c>
      <c r="K61" s="222">
        <v>43.820999999999998</v>
      </c>
      <c r="L61" s="18"/>
    </row>
    <row r="62" spans="1:12" x14ac:dyDescent="0.25">
      <c r="A62" s="6" t="s">
        <v>147</v>
      </c>
      <c r="B62" s="6" t="s">
        <v>148</v>
      </c>
      <c r="C62" s="16" t="s">
        <v>23</v>
      </c>
      <c r="D62" s="16">
        <v>53.565100000000001</v>
      </c>
      <c r="E62" s="16">
        <v>67.993700000000004</v>
      </c>
      <c r="F62" s="16">
        <v>64.630600000000001</v>
      </c>
      <c r="G62" s="16">
        <v>53.7211</v>
      </c>
      <c r="H62" s="16">
        <v>85.860900000000001</v>
      </c>
      <c r="I62" s="16">
        <v>53.4236</v>
      </c>
      <c r="J62" s="16">
        <v>45.0488</v>
      </c>
      <c r="K62" s="16">
        <v>50.955199999999998</v>
      </c>
      <c r="L62" s="19"/>
    </row>
    <row r="63" spans="1:12" x14ac:dyDescent="0.25">
      <c r="A63" s="6" t="s">
        <v>149</v>
      </c>
      <c r="B63" s="6" t="s">
        <v>149</v>
      </c>
      <c r="C63" s="15" t="s">
        <v>23</v>
      </c>
      <c r="D63" s="15">
        <v>12.666</v>
      </c>
      <c r="E63" s="15">
        <v>22.902999999999999</v>
      </c>
      <c r="F63" s="15">
        <v>24.960999999999999</v>
      </c>
      <c r="G63" s="15" t="s">
        <v>23</v>
      </c>
      <c r="H63" s="15" t="s">
        <v>23</v>
      </c>
      <c r="I63" s="15" t="s">
        <v>23</v>
      </c>
      <c r="J63" s="15" t="s">
        <v>23</v>
      </c>
      <c r="K63" s="15" t="s">
        <v>23</v>
      </c>
      <c r="L63" s="18"/>
    </row>
    <row r="64" spans="1:12" x14ac:dyDescent="0.25">
      <c r="A64" s="6" t="s">
        <v>50</v>
      </c>
      <c r="B64" s="6" t="s">
        <v>50</v>
      </c>
      <c r="C64" s="15">
        <v>16.399000000000001</v>
      </c>
      <c r="D64" s="15">
        <v>12.666</v>
      </c>
      <c r="E64" s="15">
        <v>22.902999999999999</v>
      </c>
      <c r="F64" s="15">
        <v>24.960999999999999</v>
      </c>
      <c r="G64" s="15">
        <v>19.170999999999999</v>
      </c>
      <c r="H64" s="15">
        <v>103.23</v>
      </c>
      <c r="I64" s="15">
        <v>38.323</v>
      </c>
      <c r="J64" s="15">
        <v>30.123000000000001</v>
      </c>
      <c r="K64" s="15">
        <v>43.628</v>
      </c>
      <c r="L64" s="18">
        <v>50.097000000000001</v>
      </c>
    </row>
    <row r="65" spans="1:12" x14ac:dyDescent="0.25">
      <c r="A65" s="6" t="s">
        <v>150</v>
      </c>
      <c r="B65" s="6" t="s">
        <v>51</v>
      </c>
      <c r="C65" s="16">
        <v>54.789000000000001</v>
      </c>
      <c r="D65" s="16">
        <v>55.912199999999999</v>
      </c>
      <c r="E65" s="16">
        <v>70.229200000000006</v>
      </c>
      <c r="F65" s="16">
        <v>66.323999999999998</v>
      </c>
      <c r="G65" s="16">
        <v>64.845500000000001</v>
      </c>
      <c r="H65" s="16">
        <v>88.642700000000005</v>
      </c>
      <c r="I65" s="16">
        <v>61.822400000000002</v>
      </c>
      <c r="J65" s="16">
        <v>51.984200000000001</v>
      </c>
      <c r="K65" s="16">
        <v>55.707599999999999</v>
      </c>
      <c r="L65" s="19">
        <v>67.691873242722295</v>
      </c>
    </row>
    <row r="66" spans="1:12" x14ac:dyDescent="0.25">
      <c r="A66" s="6" t="s">
        <v>151</v>
      </c>
      <c r="B66" s="6" t="s">
        <v>152</v>
      </c>
      <c r="C66" s="16">
        <v>52.304400000000001</v>
      </c>
      <c r="D66" s="16">
        <v>53.565100000000001</v>
      </c>
      <c r="E66" s="16">
        <v>67.993700000000004</v>
      </c>
      <c r="F66" s="16">
        <v>64.630600000000001</v>
      </c>
      <c r="G66" s="16">
        <v>53.356499999999997</v>
      </c>
      <c r="H66" s="16">
        <v>85.796899999999994</v>
      </c>
      <c r="I66" s="16">
        <v>53.183500000000002</v>
      </c>
      <c r="J66" s="16">
        <v>44.754600000000003</v>
      </c>
      <c r="K66" s="16">
        <v>50.730800000000002</v>
      </c>
      <c r="L66" s="19">
        <v>61.508711186415702</v>
      </c>
    </row>
    <row r="67" spans="1:12" x14ac:dyDescent="0.25">
      <c r="A67" s="6" t="s">
        <v>153</v>
      </c>
      <c r="B67" s="6" t="s">
        <v>154</v>
      </c>
      <c r="C67" s="16">
        <v>45.571399999999997</v>
      </c>
      <c r="D67" s="16">
        <v>52.935000000000002</v>
      </c>
      <c r="E67" s="16">
        <v>67.1417</v>
      </c>
      <c r="F67" s="16">
        <v>65.397099999999995</v>
      </c>
      <c r="G67" s="16">
        <v>52.070700000000002</v>
      </c>
      <c r="H67" s="16">
        <v>82.952799999999996</v>
      </c>
      <c r="I67" s="16">
        <v>52.027500000000003</v>
      </c>
      <c r="J67" s="16">
        <v>42.658299999999997</v>
      </c>
      <c r="K67" s="16">
        <v>39.569099999999999</v>
      </c>
      <c r="L67" s="19">
        <v>42.824339754687102</v>
      </c>
    </row>
    <row r="68" spans="1:12" x14ac:dyDescent="0.25">
      <c r="A68" s="6" t="s">
        <v>155</v>
      </c>
      <c r="B68" s="6" t="s">
        <v>63</v>
      </c>
      <c r="C68" s="16" t="s">
        <v>23</v>
      </c>
      <c r="D68" s="16">
        <v>0.1452</v>
      </c>
      <c r="E68" s="16" t="s">
        <v>23</v>
      </c>
      <c r="F68" s="16">
        <v>0.29470000000000002</v>
      </c>
      <c r="G68" s="16">
        <v>0.1226</v>
      </c>
      <c r="H68" s="16">
        <v>0.23619999999999999</v>
      </c>
      <c r="I68" s="16">
        <v>0.23619999999999999</v>
      </c>
      <c r="J68" s="16">
        <v>0.45</v>
      </c>
      <c r="K68" s="16">
        <v>0.66920000000000002</v>
      </c>
      <c r="L68" s="19"/>
    </row>
    <row r="69" spans="1:12" x14ac:dyDescent="0.25">
      <c r="A69" s="6" t="s">
        <v>156</v>
      </c>
      <c r="B69" s="6" t="s">
        <v>157</v>
      </c>
      <c r="C69" s="15">
        <v>6.0739999999999998</v>
      </c>
      <c r="D69" s="15">
        <v>4.8029999999999999</v>
      </c>
      <c r="E69" s="15">
        <v>4.8029999999999999</v>
      </c>
      <c r="F69" s="15">
        <v>18.591999999999999</v>
      </c>
      <c r="G69" s="15">
        <v>7.7350000000000003</v>
      </c>
      <c r="H69" s="15">
        <v>14.903</v>
      </c>
      <c r="I69" s="15">
        <v>14.903</v>
      </c>
      <c r="J69" s="15">
        <v>28.712</v>
      </c>
      <c r="K69" s="15">
        <v>42.215000000000003</v>
      </c>
      <c r="L69" s="18"/>
    </row>
    <row r="70" spans="1:12" x14ac:dyDescent="0.25">
      <c r="A70" s="6" t="s">
        <v>158</v>
      </c>
      <c r="B70" s="6" t="s">
        <v>159</v>
      </c>
      <c r="C70" s="15" t="s">
        <v>23</v>
      </c>
      <c r="D70" s="15" t="s">
        <v>23</v>
      </c>
      <c r="E70" s="15" t="s">
        <v>23</v>
      </c>
      <c r="F70" s="15" t="s">
        <v>23</v>
      </c>
      <c r="G70" s="15" t="s">
        <v>23</v>
      </c>
      <c r="H70" s="15">
        <v>2.948</v>
      </c>
      <c r="I70" s="15">
        <v>3.2959999999999998</v>
      </c>
      <c r="J70" s="15">
        <v>2.399</v>
      </c>
      <c r="K70" s="15">
        <v>2.7</v>
      </c>
      <c r="L70" s="18">
        <v>4.6890000000000001</v>
      </c>
    </row>
    <row r="71" spans="1:12" x14ac:dyDescent="0.25">
      <c r="A71" s="6" t="s">
        <v>160</v>
      </c>
      <c r="B71" s="6" t="s">
        <v>161</v>
      </c>
      <c r="C71" s="15">
        <v>0</v>
      </c>
      <c r="D71" s="15">
        <v>0</v>
      </c>
      <c r="E71" s="15">
        <v>0</v>
      </c>
      <c r="F71" s="15">
        <v>0</v>
      </c>
      <c r="G71" s="15" t="s">
        <v>23</v>
      </c>
      <c r="H71" s="15" t="s">
        <v>23</v>
      </c>
      <c r="I71" s="15" t="s">
        <v>23</v>
      </c>
      <c r="J71" s="15" t="s">
        <v>23</v>
      </c>
      <c r="K71" s="15" t="s">
        <v>23</v>
      </c>
      <c r="L71" s="18"/>
    </row>
    <row r="72" spans="1:12" x14ac:dyDescent="0.25">
      <c r="A72" s="7" t="s">
        <v>29</v>
      </c>
      <c r="B72" s="7"/>
      <c r="C72" s="7" t="s">
        <v>30</v>
      </c>
      <c r="D72" s="7"/>
      <c r="E72" s="7"/>
      <c r="F72" s="7"/>
      <c r="G72" s="7"/>
      <c r="H72" s="7"/>
      <c r="I72" s="7"/>
      <c r="J72" s="7"/>
      <c r="K72" s="7"/>
      <c r="L72" s="7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Y67"/>
  <sheetViews>
    <sheetView workbookViewId="0">
      <selection activeCell="H21" sqref="H21"/>
    </sheetView>
  </sheetViews>
  <sheetFormatPr defaultRowHeight="15" x14ac:dyDescent="0.25"/>
  <cols>
    <col min="1" max="1" width="35.140625" customWidth="1"/>
    <col min="2" max="2" width="0" hidden="1" customWidth="1"/>
    <col min="3" max="12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5" ht="20.25" x14ac:dyDescent="0.25">
      <c r="A2" s="8" t="s">
        <v>165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5" x14ac:dyDescent="0.25">
      <c r="A4" s="3" t="s">
        <v>31</v>
      </c>
      <c r="B4" s="3"/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57</v>
      </c>
    </row>
    <row r="5" spans="1:25" x14ac:dyDescent="0.25">
      <c r="A5" s="9" t="s">
        <v>9</v>
      </c>
      <c r="B5" s="9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824</v>
      </c>
    </row>
    <row r="6" spans="1:25" x14ac:dyDescent="0.25">
      <c r="A6" s="6" t="s">
        <v>308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7"/>
    </row>
    <row r="7" spans="1:25" x14ac:dyDescent="0.25">
      <c r="A7" s="10" t="s">
        <v>309</v>
      </c>
      <c r="B7" s="10" t="s">
        <v>310</v>
      </c>
      <c r="C7" s="12">
        <v>14.288</v>
      </c>
      <c r="D7" s="12">
        <v>12.516999999999999</v>
      </c>
      <c r="E7" s="12">
        <v>22.616</v>
      </c>
      <c r="F7" s="12">
        <v>25.257000000000001</v>
      </c>
      <c r="G7" s="12">
        <v>18.709</v>
      </c>
      <c r="H7" s="12">
        <v>99.808000000000007</v>
      </c>
      <c r="I7" s="12">
        <v>37.49</v>
      </c>
      <c r="J7" s="12">
        <v>28.712</v>
      </c>
      <c r="K7" s="12">
        <v>34.029000000000003</v>
      </c>
      <c r="L7" s="13">
        <v>34.860999999999997</v>
      </c>
      <c r="M7" s="247"/>
    </row>
    <row r="8" spans="1:25" x14ac:dyDescent="0.25">
      <c r="A8" s="10" t="s">
        <v>311</v>
      </c>
      <c r="B8" s="10" t="s">
        <v>312</v>
      </c>
      <c r="C8" s="12" t="s">
        <v>23</v>
      </c>
      <c r="D8" s="12">
        <v>0</v>
      </c>
      <c r="E8" s="12">
        <v>0</v>
      </c>
      <c r="F8" s="12">
        <v>0</v>
      </c>
      <c r="G8" s="12">
        <v>0.13100000000000001</v>
      </c>
      <c r="H8" s="12">
        <v>7.6999999999999999E-2</v>
      </c>
      <c r="I8" s="12">
        <v>0.17299999999999999</v>
      </c>
      <c r="J8" s="12">
        <v>0.19800000000000001</v>
      </c>
      <c r="K8" s="12">
        <v>0.193</v>
      </c>
      <c r="L8" s="13"/>
    </row>
    <row r="9" spans="1:25" x14ac:dyDescent="0.25">
      <c r="A9" s="10" t="s">
        <v>313</v>
      </c>
      <c r="B9" s="10" t="s">
        <v>314</v>
      </c>
      <c r="C9" s="12">
        <v>-15.651999999999999</v>
      </c>
      <c r="D9" s="12">
        <v>8.8019999999999996</v>
      </c>
      <c r="E9" s="12">
        <v>2.9020000000000001</v>
      </c>
      <c r="F9" s="12">
        <v>5.5910000000000002</v>
      </c>
      <c r="G9" s="12">
        <v>-0.48</v>
      </c>
      <c r="H9" s="12">
        <v>-76.754999999999995</v>
      </c>
      <c r="I9" s="12">
        <v>-17.997</v>
      </c>
      <c r="J9" s="12">
        <v>-4.556</v>
      </c>
      <c r="K9" s="12">
        <v>-44.171999999999997</v>
      </c>
      <c r="L9" s="13">
        <v>-8.0129999999999999</v>
      </c>
    </row>
    <row r="10" spans="1:25" x14ac:dyDescent="0.25">
      <c r="A10" s="10" t="s">
        <v>315</v>
      </c>
      <c r="B10" s="10" t="s">
        <v>316</v>
      </c>
      <c r="C10" s="12">
        <v>-15.651999999999999</v>
      </c>
      <c r="D10" s="12">
        <v>8.8019999999999996</v>
      </c>
      <c r="E10" s="12">
        <v>2.9020000000000001</v>
      </c>
      <c r="F10" s="12">
        <v>5.5910000000000002</v>
      </c>
      <c r="G10" s="12">
        <v>-0.48</v>
      </c>
      <c r="H10" s="12">
        <v>-76.754999999999995</v>
      </c>
      <c r="I10" s="12">
        <v>-17.997</v>
      </c>
      <c r="J10" s="12">
        <v>-4.556</v>
      </c>
      <c r="K10" s="12">
        <v>-44.171999999999997</v>
      </c>
      <c r="L10" s="13">
        <v>-8.0129999999999999</v>
      </c>
    </row>
    <row r="11" spans="1:25" x14ac:dyDescent="0.25">
      <c r="A11" s="80" t="s">
        <v>317</v>
      </c>
      <c r="B11" s="80" t="s">
        <v>318</v>
      </c>
      <c r="C11" s="79">
        <v>-1.8109999999999999</v>
      </c>
      <c r="D11" s="79">
        <v>-0.94199999999999995</v>
      </c>
      <c r="E11" s="79">
        <v>-1.1339999999999999</v>
      </c>
      <c r="F11" s="79">
        <v>-2.4870000000000001</v>
      </c>
      <c r="G11" s="79">
        <v>8.1880000000000006</v>
      </c>
      <c r="H11" s="79">
        <v>4.3970000000000002</v>
      </c>
      <c r="I11" s="79">
        <v>1.0369999999999999</v>
      </c>
      <c r="J11" s="79">
        <v>-4.7530000000000001</v>
      </c>
      <c r="K11" s="79">
        <v>21.367999999999999</v>
      </c>
      <c r="L11" s="90">
        <v>-3.0880000000000001</v>
      </c>
      <c r="M11" s="261" t="s">
        <v>1051</v>
      </c>
      <c r="N11" s="262"/>
      <c r="O11" s="262"/>
      <c r="P11" s="262"/>
      <c r="Q11" s="262"/>
      <c r="R11" s="262"/>
      <c r="S11" s="58"/>
      <c r="T11" s="58"/>
      <c r="U11" s="58"/>
      <c r="V11" s="58"/>
      <c r="W11" s="58"/>
      <c r="X11" s="58"/>
      <c r="Y11" s="58"/>
    </row>
    <row r="12" spans="1:25" x14ac:dyDescent="0.25">
      <c r="A12" s="10" t="s">
        <v>319</v>
      </c>
      <c r="B12" s="10" t="s">
        <v>320</v>
      </c>
      <c r="C12" s="12">
        <v>-4.7E-2</v>
      </c>
      <c r="D12" s="12">
        <v>0.70699999999999996</v>
      </c>
      <c r="E12" s="12">
        <v>0.10199999999999999</v>
      </c>
      <c r="F12" s="12">
        <v>-1.377</v>
      </c>
      <c r="G12" s="12">
        <v>0.61599999999999999</v>
      </c>
      <c r="H12" s="12">
        <v>-2.274</v>
      </c>
      <c r="I12" s="12">
        <v>2.4E-2</v>
      </c>
      <c r="J12" s="12">
        <v>-2.8490000000000002</v>
      </c>
      <c r="K12" s="12">
        <v>2.23</v>
      </c>
      <c r="L12" s="13">
        <v>-17.32</v>
      </c>
    </row>
    <row r="13" spans="1:25" x14ac:dyDescent="0.25">
      <c r="A13" s="10" t="s">
        <v>321</v>
      </c>
      <c r="B13" s="10" t="s">
        <v>322</v>
      </c>
      <c r="C13" s="12">
        <v>-0.45200000000000001</v>
      </c>
      <c r="D13" s="12">
        <v>-0.93</v>
      </c>
      <c r="E13" s="12">
        <v>0.26400000000000001</v>
      </c>
      <c r="F13" s="12">
        <v>1.526</v>
      </c>
      <c r="G13" s="12">
        <v>0.70099999999999996</v>
      </c>
      <c r="H13" s="12">
        <v>3.71</v>
      </c>
      <c r="I13" s="12">
        <v>-0.996</v>
      </c>
      <c r="J13" s="12">
        <v>-0.98299999999999998</v>
      </c>
      <c r="K13" s="12">
        <v>1.1859999999999999</v>
      </c>
      <c r="L13" s="13">
        <v>-2.8330000000000002</v>
      </c>
    </row>
    <row r="14" spans="1:25" x14ac:dyDescent="0.25">
      <c r="A14" s="10" t="s">
        <v>323</v>
      </c>
      <c r="B14" s="10" t="s">
        <v>324</v>
      </c>
      <c r="C14" s="12">
        <v>-1.3120000000000001</v>
      </c>
      <c r="D14" s="12">
        <v>-0.71899999999999997</v>
      </c>
      <c r="E14" s="12">
        <v>-1.5</v>
      </c>
      <c r="F14" s="12">
        <v>-2.6360000000000001</v>
      </c>
      <c r="G14" s="12">
        <v>6.8710000000000004</v>
      </c>
      <c r="H14" s="12">
        <v>2.9609999999999999</v>
      </c>
      <c r="I14" s="12">
        <v>2.0089999999999999</v>
      </c>
      <c r="J14" s="12">
        <v>-0.92100000000000004</v>
      </c>
      <c r="K14" s="12">
        <v>17.952000000000002</v>
      </c>
      <c r="L14" s="13">
        <v>17.065000000000001</v>
      </c>
    </row>
    <row r="15" spans="1:25" x14ac:dyDescent="0.25">
      <c r="A15" s="10" t="s">
        <v>325</v>
      </c>
      <c r="B15" s="10" t="s">
        <v>326</v>
      </c>
      <c r="C15" s="12" t="s">
        <v>23</v>
      </c>
      <c r="D15" s="12" t="s">
        <v>23</v>
      </c>
      <c r="E15" s="12" t="s">
        <v>23</v>
      </c>
      <c r="F15" s="12" t="s">
        <v>23</v>
      </c>
      <c r="G15" s="12" t="s">
        <v>23</v>
      </c>
      <c r="H15" s="12">
        <v>0</v>
      </c>
      <c r="I15" s="12">
        <v>0</v>
      </c>
      <c r="J15" s="12">
        <v>0</v>
      </c>
      <c r="K15" s="12">
        <v>0</v>
      </c>
      <c r="L15" s="13"/>
    </row>
    <row r="16" spans="1:25" x14ac:dyDescent="0.25">
      <c r="A16" s="6" t="s">
        <v>308</v>
      </c>
      <c r="B16" s="6" t="s">
        <v>26</v>
      </c>
      <c r="C16" s="15">
        <v>-3.1749999999999998</v>
      </c>
      <c r="D16" s="15">
        <v>20.376999999999999</v>
      </c>
      <c r="E16" s="15">
        <v>24.384</v>
      </c>
      <c r="F16" s="15">
        <v>28.361000000000001</v>
      </c>
      <c r="G16" s="15">
        <v>26.547999999999998</v>
      </c>
      <c r="H16" s="15">
        <v>27.527000000000001</v>
      </c>
      <c r="I16" s="15">
        <v>20.702999999999999</v>
      </c>
      <c r="J16" s="15">
        <v>19.600999999999999</v>
      </c>
      <c r="K16" s="15">
        <v>11.417999999999999</v>
      </c>
      <c r="L16" s="18">
        <v>23.872</v>
      </c>
    </row>
    <row r="17" spans="1:12" x14ac:dyDescent="0.25">
      <c r="A17" s="6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</row>
    <row r="18" spans="1:12" x14ac:dyDescent="0.25">
      <c r="A18" s="6" t="s">
        <v>327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7"/>
    </row>
    <row r="19" spans="1:12" x14ac:dyDescent="0.25">
      <c r="A19" s="10" t="s">
        <v>328</v>
      </c>
      <c r="B19" s="10" t="s">
        <v>329</v>
      </c>
      <c r="C19" s="12">
        <v>0</v>
      </c>
      <c r="D19" s="12">
        <v>0</v>
      </c>
      <c r="E19" s="12">
        <v>0</v>
      </c>
      <c r="F19" s="12">
        <v>-0.442</v>
      </c>
      <c r="G19" s="12">
        <v>-1.1000000000000001</v>
      </c>
      <c r="H19" s="12">
        <v>-1.248</v>
      </c>
      <c r="I19" s="12">
        <v>-1.911</v>
      </c>
      <c r="J19" s="12">
        <v>-0.375</v>
      </c>
      <c r="K19" s="12">
        <v>-1.4339999999999999</v>
      </c>
      <c r="L19" s="13">
        <v>-1.4490000000000001</v>
      </c>
    </row>
    <row r="20" spans="1:12" x14ac:dyDescent="0.25">
      <c r="A20" s="10" t="s">
        <v>330</v>
      </c>
      <c r="B20" s="10" t="s">
        <v>331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3">
        <v>0.111</v>
      </c>
    </row>
    <row r="21" spans="1:12" x14ac:dyDescent="0.25">
      <c r="A21" s="11" t="s">
        <v>332</v>
      </c>
      <c r="B21" s="11" t="s">
        <v>333</v>
      </c>
      <c r="C21" s="20" t="s">
        <v>23</v>
      </c>
      <c r="D21" s="20" t="s">
        <v>23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1"/>
    </row>
    <row r="22" spans="1:12" x14ac:dyDescent="0.25">
      <c r="A22" s="11" t="s">
        <v>334</v>
      </c>
      <c r="B22" s="11" t="s">
        <v>335</v>
      </c>
      <c r="C22" s="20" t="s">
        <v>23</v>
      </c>
      <c r="D22" s="20" t="s">
        <v>23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1"/>
    </row>
    <row r="23" spans="1:12" x14ac:dyDescent="0.25">
      <c r="A23" s="10" t="s">
        <v>336</v>
      </c>
      <c r="B23" s="10" t="s">
        <v>337</v>
      </c>
      <c r="C23" s="12">
        <v>0</v>
      </c>
      <c r="D23" s="12">
        <v>0</v>
      </c>
      <c r="E23" s="12">
        <v>0</v>
      </c>
      <c r="F23" s="12">
        <v>-0.442</v>
      </c>
      <c r="G23" s="12">
        <v>-1.1000000000000001</v>
      </c>
      <c r="H23" s="12">
        <v>-1.248</v>
      </c>
      <c r="I23" s="12">
        <v>-1.911</v>
      </c>
      <c r="J23" s="12">
        <v>-0.375</v>
      </c>
      <c r="K23" s="12">
        <v>-1.4339999999999999</v>
      </c>
      <c r="L23" s="13"/>
    </row>
    <row r="24" spans="1:12" x14ac:dyDescent="0.25">
      <c r="A24" s="11" t="s">
        <v>338</v>
      </c>
      <c r="B24" s="11" t="s">
        <v>339</v>
      </c>
      <c r="C24" s="20" t="s">
        <v>23</v>
      </c>
      <c r="D24" s="20" t="s">
        <v>23</v>
      </c>
      <c r="E24" s="20">
        <v>0</v>
      </c>
      <c r="F24" s="20">
        <v>-9.2999999999999999E-2</v>
      </c>
      <c r="G24" s="20">
        <v>0</v>
      </c>
      <c r="H24" s="20" t="s">
        <v>23</v>
      </c>
      <c r="I24" s="20">
        <v>0</v>
      </c>
      <c r="J24" s="20">
        <v>0</v>
      </c>
      <c r="K24" s="20">
        <v>-1.4339999999999999</v>
      </c>
      <c r="L24" s="21"/>
    </row>
    <row r="25" spans="1:12" x14ac:dyDescent="0.25">
      <c r="A25" s="11" t="s">
        <v>340</v>
      </c>
      <c r="B25" s="11" t="s">
        <v>341</v>
      </c>
      <c r="C25" s="20" t="s">
        <v>23</v>
      </c>
      <c r="D25" s="20" t="s">
        <v>23</v>
      </c>
      <c r="E25" s="20">
        <v>0</v>
      </c>
      <c r="F25" s="20">
        <v>-0.34899999999999998</v>
      </c>
      <c r="G25" s="20">
        <v>-1.1000000000000001</v>
      </c>
      <c r="H25" s="20" t="s">
        <v>23</v>
      </c>
      <c r="I25" s="20">
        <v>-1.911</v>
      </c>
      <c r="J25" s="20">
        <v>-0.375</v>
      </c>
      <c r="K25" s="20">
        <v>0</v>
      </c>
      <c r="L25" s="21"/>
    </row>
    <row r="26" spans="1:12" x14ac:dyDescent="0.25">
      <c r="A26" s="10" t="s">
        <v>342</v>
      </c>
      <c r="B26" s="10" t="s">
        <v>343</v>
      </c>
      <c r="C26" s="12">
        <v>-5.4539999999999997</v>
      </c>
      <c r="D26" s="12">
        <v>43.531999999999996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3">
        <v>0</v>
      </c>
    </row>
    <row r="27" spans="1:12" x14ac:dyDescent="0.25">
      <c r="A27" s="10" t="s">
        <v>344</v>
      </c>
      <c r="B27" s="10" t="s">
        <v>345</v>
      </c>
      <c r="C27" s="12">
        <v>0</v>
      </c>
      <c r="D27" s="12" t="s">
        <v>23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3">
        <v>0</v>
      </c>
    </row>
    <row r="28" spans="1:12" x14ac:dyDescent="0.25">
      <c r="A28" s="10" t="s">
        <v>346</v>
      </c>
      <c r="B28" s="10" t="s">
        <v>347</v>
      </c>
      <c r="C28" s="12">
        <v>-5.4539999999999997</v>
      </c>
      <c r="D28" s="12" t="s">
        <v>23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3">
        <v>0</v>
      </c>
    </row>
    <row r="29" spans="1:12" x14ac:dyDescent="0.25">
      <c r="A29" s="10" t="s">
        <v>348</v>
      </c>
      <c r="B29" s="10" t="s">
        <v>349</v>
      </c>
      <c r="C29" s="12" t="s">
        <v>23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3">
        <v>0</v>
      </c>
    </row>
    <row r="30" spans="1:12" x14ac:dyDescent="0.25">
      <c r="A30" s="10" t="s">
        <v>350</v>
      </c>
      <c r="B30" s="10" t="s">
        <v>351</v>
      </c>
      <c r="C30" s="12" t="s">
        <v>23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3">
        <v>0</v>
      </c>
    </row>
    <row r="31" spans="1:12" x14ac:dyDescent="0.25">
      <c r="A31" s="10" t="s">
        <v>352</v>
      </c>
      <c r="B31" s="10" t="s">
        <v>353</v>
      </c>
      <c r="C31" s="12" t="s">
        <v>23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3">
        <v>0</v>
      </c>
    </row>
    <row r="32" spans="1:12" x14ac:dyDescent="0.25">
      <c r="A32" s="10" t="s">
        <v>354</v>
      </c>
      <c r="B32" s="10" t="s">
        <v>355</v>
      </c>
      <c r="C32" s="12" t="s">
        <v>23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3">
        <v>0</v>
      </c>
    </row>
    <row r="33" spans="1:12" x14ac:dyDescent="0.25">
      <c r="A33" s="10" t="s">
        <v>356</v>
      </c>
      <c r="B33" s="10" t="s">
        <v>357</v>
      </c>
      <c r="C33" s="12">
        <v>21.754000000000001</v>
      </c>
      <c r="D33" s="12">
        <v>-0.51200000000000001</v>
      </c>
      <c r="E33" s="12">
        <v>-1.4E-2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3">
        <v>0</v>
      </c>
    </row>
    <row r="34" spans="1:12" x14ac:dyDescent="0.25">
      <c r="A34" s="10" t="s">
        <v>325</v>
      </c>
      <c r="B34" s="10" t="s">
        <v>358</v>
      </c>
      <c r="C34" s="12" t="s">
        <v>23</v>
      </c>
      <c r="D34" s="12" t="s">
        <v>23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3">
        <v>0</v>
      </c>
    </row>
    <row r="35" spans="1:12" x14ac:dyDescent="0.25">
      <c r="A35" s="6" t="s">
        <v>327</v>
      </c>
      <c r="B35" s="6" t="s">
        <v>48</v>
      </c>
      <c r="C35" s="15">
        <v>16.3</v>
      </c>
      <c r="D35" s="15">
        <v>43.02</v>
      </c>
      <c r="E35" s="15">
        <v>-1.4E-2</v>
      </c>
      <c r="F35" s="15">
        <v>-0.442</v>
      </c>
      <c r="G35" s="15">
        <v>-1.1000000000000001</v>
      </c>
      <c r="H35" s="15">
        <v>-1.248</v>
      </c>
      <c r="I35" s="15">
        <v>-1.911</v>
      </c>
      <c r="J35" s="15">
        <v>-0.375</v>
      </c>
      <c r="K35" s="15">
        <v>-1.4339999999999999</v>
      </c>
      <c r="L35" s="18">
        <v>-1.448</v>
      </c>
    </row>
    <row r="36" spans="1:12" x14ac:dyDescent="0.25">
      <c r="A36" s="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7"/>
    </row>
    <row r="37" spans="1:12" x14ac:dyDescent="0.25">
      <c r="A37" s="6" t="s">
        <v>359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7"/>
    </row>
    <row r="38" spans="1:12" x14ac:dyDescent="0.25">
      <c r="A38" s="10" t="s">
        <v>360</v>
      </c>
      <c r="B38" s="10" t="s">
        <v>361</v>
      </c>
      <c r="C38" s="12">
        <v>-19.48</v>
      </c>
      <c r="D38" s="12">
        <v>-13.773999999999999</v>
      </c>
      <c r="E38" s="12">
        <v>-11.375999999999999</v>
      </c>
      <c r="F38" s="12">
        <v>-6.6580000000000004</v>
      </c>
      <c r="G38" s="12">
        <v>-45.476999999999997</v>
      </c>
      <c r="H38" s="12">
        <v>-39.667999999999999</v>
      </c>
      <c r="I38" s="12">
        <v>-14.879</v>
      </c>
      <c r="J38" s="12">
        <v>-37.42</v>
      </c>
      <c r="K38" s="12">
        <v>-35.465000000000003</v>
      </c>
      <c r="L38" s="13">
        <v>-35.472999999999999</v>
      </c>
    </row>
    <row r="39" spans="1:12" x14ac:dyDescent="0.25">
      <c r="A39" s="10" t="s">
        <v>362</v>
      </c>
      <c r="B39" s="10" t="s">
        <v>363</v>
      </c>
      <c r="C39" s="12">
        <v>-0.60199999999999998</v>
      </c>
      <c r="D39" s="12">
        <v>-0.72899999999999998</v>
      </c>
      <c r="E39" s="12">
        <v>-0.72699999999999998</v>
      </c>
      <c r="F39" s="12">
        <v>-0.72699999999999998</v>
      </c>
      <c r="G39" s="12">
        <v>-0.50800000000000001</v>
      </c>
      <c r="H39" s="12">
        <v>-0.20100000000000001</v>
      </c>
      <c r="I39" s="12">
        <v>-0.20100000000000001</v>
      </c>
      <c r="J39" s="12">
        <v>-0.20100000000000001</v>
      </c>
      <c r="K39" s="12">
        <v>29.866</v>
      </c>
      <c r="L39" s="13">
        <v>30</v>
      </c>
    </row>
    <row r="40" spans="1:12" x14ac:dyDescent="0.25">
      <c r="A40" s="10" t="s">
        <v>364</v>
      </c>
      <c r="B40" s="10" t="s">
        <v>365</v>
      </c>
      <c r="C40" s="12" t="s">
        <v>23</v>
      </c>
      <c r="D40" s="12" t="s">
        <v>23</v>
      </c>
      <c r="E40" s="12" t="s">
        <v>23</v>
      </c>
      <c r="F40" s="12" t="s">
        <v>23</v>
      </c>
      <c r="G40" s="12">
        <v>0</v>
      </c>
      <c r="H40" s="12" t="s">
        <v>23</v>
      </c>
      <c r="I40" s="12" t="s">
        <v>23</v>
      </c>
      <c r="J40" s="12" t="s">
        <v>23</v>
      </c>
      <c r="K40" s="12" t="s">
        <v>23</v>
      </c>
      <c r="L40" s="13"/>
    </row>
    <row r="41" spans="1:12" x14ac:dyDescent="0.25">
      <c r="A41" s="10" t="s">
        <v>366</v>
      </c>
      <c r="B41" s="10" t="s">
        <v>367</v>
      </c>
      <c r="C41" s="12" t="s">
        <v>23</v>
      </c>
      <c r="D41" s="12" t="s">
        <v>23</v>
      </c>
      <c r="E41" s="12" t="s">
        <v>23</v>
      </c>
      <c r="F41" s="12" t="s">
        <v>23</v>
      </c>
      <c r="G41" s="12">
        <v>0</v>
      </c>
      <c r="H41" s="12" t="s">
        <v>23</v>
      </c>
      <c r="I41" s="12" t="s">
        <v>23</v>
      </c>
      <c r="J41" s="12" t="s">
        <v>23</v>
      </c>
      <c r="K41" s="12" t="s">
        <v>23</v>
      </c>
      <c r="L41" s="13"/>
    </row>
    <row r="42" spans="1:12" x14ac:dyDescent="0.25">
      <c r="A42" s="10" t="s">
        <v>368</v>
      </c>
      <c r="B42" s="10" t="s">
        <v>369</v>
      </c>
      <c r="C42" s="12" t="s">
        <v>23</v>
      </c>
      <c r="D42" s="12" t="s">
        <v>23</v>
      </c>
      <c r="E42" s="12" t="s">
        <v>23</v>
      </c>
      <c r="F42" s="12" t="s">
        <v>23</v>
      </c>
      <c r="G42" s="12">
        <v>-0.50800000000000001</v>
      </c>
      <c r="H42" s="12" t="s">
        <v>23</v>
      </c>
      <c r="I42" s="12" t="s">
        <v>23</v>
      </c>
      <c r="J42" s="12" t="s">
        <v>23</v>
      </c>
      <c r="K42" s="12" t="s">
        <v>23</v>
      </c>
      <c r="L42" s="13"/>
    </row>
    <row r="43" spans="1:12" x14ac:dyDescent="0.25">
      <c r="A43" s="10" t="s">
        <v>370</v>
      </c>
      <c r="B43" s="10" t="s">
        <v>371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3">
        <v>0</v>
      </c>
    </row>
    <row r="44" spans="1:12" x14ac:dyDescent="0.25">
      <c r="A44" s="10" t="s">
        <v>372</v>
      </c>
      <c r="B44" s="10" t="s">
        <v>373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3">
        <v>0</v>
      </c>
    </row>
    <row r="45" spans="1:12" x14ac:dyDescent="0.25">
      <c r="A45" s="10" t="s">
        <v>374</v>
      </c>
      <c r="B45" s="10" t="s">
        <v>375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3">
        <v>0</v>
      </c>
    </row>
    <row r="46" spans="1:12" x14ac:dyDescent="0.25">
      <c r="A46" s="10" t="s">
        <v>376</v>
      </c>
      <c r="B46" s="10" t="s">
        <v>377</v>
      </c>
      <c r="C46" s="12">
        <v>0</v>
      </c>
      <c r="D46" s="12">
        <v>-30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3">
        <v>0</v>
      </c>
    </row>
    <row r="47" spans="1:12" x14ac:dyDescent="0.25">
      <c r="A47" s="10" t="s">
        <v>325</v>
      </c>
      <c r="B47" s="10" t="s">
        <v>378</v>
      </c>
      <c r="C47" s="12" t="s">
        <v>23</v>
      </c>
      <c r="D47" s="12" t="s">
        <v>23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3">
        <v>0</v>
      </c>
    </row>
    <row r="48" spans="1:12" x14ac:dyDescent="0.25">
      <c r="A48" s="6" t="s">
        <v>359</v>
      </c>
      <c r="B48" s="6" t="s">
        <v>379</v>
      </c>
      <c r="C48" s="15">
        <v>-20.082000000000001</v>
      </c>
      <c r="D48" s="15">
        <v>-44.503</v>
      </c>
      <c r="E48" s="15">
        <v>-12.103</v>
      </c>
      <c r="F48" s="15">
        <v>-7.3849999999999998</v>
      </c>
      <c r="G48" s="15">
        <v>-45.984999999999999</v>
      </c>
      <c r="H48" s="15">
        <v>-39.869</v>
      </c>
      <c r="I48" s="15">
        <v>-15.08</v>
      </c>
      <c r="J48" s="15">
        <v>-37.621000000000002</v>
      </c>
      <c r="K48" s="15">
        <v>-5.5990000000000002</v>
      </c>
      <c r="L48" s="18">
        <v>-5.4729999999999999</v>
      </c>
    </row>
    <row r="49" spans="1:12" x14ac:dyDescent="0.25">
      <c r="A49" s="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7"/>
    </row>
    <row r="50" spans="1:12" x14ac:dyDescent="0.25">
      <c r="A50" s="10" t="s">
        <v>380</v>
      </c>
      <c r="B50" s="10" t="s">
        <v>381</v>
      </c>
      <c r="C50" s="12" t="s">
        <v>23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3">
        <v>0</v>
      </c>
    </row>
    <row r="51" spans="1:12" x14ac:dyDescent="0.25">
      <c r="A51" s="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7"/>
    </row>
    <row r="52" spans="1:12" x14ac:dyDescent="0.25">
      <c r="A52" s="6" t="s">
        <v>382</v>
      </c>
      <c r="B52" s="6" t="s">
        <v>383</v>
      </c>
      <c r="C52" s="15">
        <v>-6.9569999999999999</v>
      </c>
      <c r="D52" s="15">
        <v>18.893999999999998</v>
      </c>
      <c r="E52" s="15">
        <v>12.266999999999999</v>
      </c>
      <c r="F52" s="15">
        <v>20.533999999999999</v>
      </c>
      <c r="G52" s="15">
        <v>-20.536999999999999</v>
      </c>
      <c r="H52" s="15">
        <v>-13.59</v>
      </c>
      <c r="I52" s="15">
        <v>3.7120000000000002</v>
      </c>
      <c r="J52" s="15">
        <v>-18.395</v>
      </c>
      <c r="K52" s="15">
        <v>4.3849999999999998</v>
      </c>
      <c r="L52" s="18">
        <v>16.951000000000001</v>
      </c>
    </row>
    <row r="53" spans="1:12" x14ac:dyDescent="0.25">
      <c r="A53" s="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7"/>
    </row>
    <row r="54" spans="1:12" x14ac:dyDescent="0.25">
      <c r="A54" s="6" t="s">
        <v>384</v>
      </c>
      <c r="B54" s="6" t="s">
        <v>385</v>
      </c>
      <c r="C54" s="15">
        <v>1.8740000000000001</v>
      </c>
      <c r="D54" s="15">
        <v>1.4750000000000001</v>
      </c>
      <c r="E54" s="15">
        <v>-1.6890000000000001</v>
      </c>
      <c r="F54" s="15">
        <v>-2.097</v>
      </c>
      <c r="G54" s="15">
        <v>0.40200000000000002</v>
      </c>
      <c r="H54" s="15">
        <v>0.33600000000000002</v>
      </c>
      <c r="I54" s="15">
        <v>1.5669999999999999</v>
      </c>
      <c r="J54" s="15">
        <v>0.39300000000000002</v>
      </c>
      <c r="K54" s="15">
        <v>12.308999999999999</v>
      </c>
      <c r="L54" s="18">
        <v>8.4930000000000003</v>
      </c>
    </row>
    <row r="55" spans="1:12" x14ac:dyDescent="0.25">
      <c r="A55" s="6" t="s">
        <v>386</v>
      </c>
      <c r="B55" s="6" t="s">
        <v>387</v>
      </c>
      <c r="C55" s="15">
        <v>0.192</v>
      </c>
      <c r="D55" s="15">
        <v>0.157</v>
      </c>
      <c r="E55" s="15">
        <v>0.123</v>
      </c>
      <c r="F55" s="15">
        <v>8.6999999999999994E-2</v>
      </c>
      <c r="G55" s="15">
        <v>5.3999999999999999E-2</v>
      </c>
      <c r="H55" s="15">
        <v>3.7999999999999999E-2</v>
      </c>
      <c r="I55" s="15">
        <v>2.5000000000000001E-2</v>
      </c>
      <c r="J55" s="15">
        <v>1.4999999999999999E-2</v>
      </c>
      <c r="K55" s="15">
        <v>2E-3</v>
      </c>
      <c r="L55" s="18">
        <v>0</v>
      </c>
    </row>
    <row r="56" spans="1:12" x14ac:dyDescent="0.25">
      <c r="A56" s="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7"/>
    </row>
    <row r="57" spans="1:12" x14ac:dyDescent="0.25">
      <c r="A57" s="6" t="s">
        <v>55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7"/>
    </row>
    <row r="58" spans="1:12" x14ac:dyDescent="0.25">
      <c r="A58" s="6" t="s">
        <v>22</v>
      </c>
      <c r="B58" s="6" t="s">
        <v>22</v>
      </c>
      <c r="C58" s="15" t="s">
        <v>23</v>
      </c>
      <c r="D58" s="15">
        <v>12.666</v>
      </c>
      <c r="E58" s="15">
        <v>22.902999999999999</v>
      </c>
      <c r="F58" s="15">
        <v>24.960999999999999</v>
      </c>
      <c r="G58" s="15">
        <v>19.302</v>
      </c>
      <c r="H58" s="15">
        <v>103.307</v>
      </c>
      <c r="I58" s="15">
        <v>38.496000000000002</v>
      </c>
      <c r="J58" s="15">
        <v>30.321000000000002</v>
      </c>
      <c r="K58" s="15">
        <v>43.820999999999998</v>
      </c>
      <c r="L58" s="18"/>
    </row>
    <row r="59" spans="1:12" x14ac:dyDescent="0.25">
      <c r="A59" s="6" t="s">
        <v>388</v>
      </c>
      <c r="B59" s="6" t="s">
        <v>148</v>
      </c>
      <c r="C59" s="16" t="s">
        <v>23</v>
      </c>
      <c r="D59" s="16">
        <v>53.565100000000001</v>
      </c>
      <c r="E59" s="16">
        <v>67.993700000000004</v>
      </c>
      <c r="F59" s="16">
        <v>64.630600000000001</v>
      </c>
      <c r="G59" s="16">
        <v>53.7211</v>
      </c>
      <c r="H59" s="16">
        <v>85.860900000000001</v>
      </c>
      <c r="I59" s="16">
        <v>53.4236</v>
      </c>
      <c r="J59" s="16">
        <v>45.0488</v>
      </c>
      <c r="K59" s="16">
        <v>50.955199999999998</v>
      </c>
      <c r="L59" s="19"/>
    </row>
    <row r="60" spans="1:12" x14ac:dyDescent="0.25">
      <c r="A60" s="6" t="s">
        <v>389</v>
      </c>
      <c r="B60" s="6" t="s">
        <v>390</v>
      </c>
      <c r="C60" s="15" t="s">
        <v>23</v>
      </c>
      <c r="D60" s="15" t="s">
        <v>23</v>
      </c>
      <c r="E60" s="15" t="s">
        <v>23</v>
      </c>
      <c r="F60" s="15" t="s">
        <v>23</v>
      </c>
      <c r="G60" s="15" t="s">
        <v>23</v>
      </c>
      <c r="H60" s="15">
        <v>0.97499999999999998</v>
      </c>
      <c r="I60" s="15">
        <v>2.9329999999999998</v>
      </c>
      <c r="J60" s="15">
        <v>1.448</v>
      </c>
      <c r="K60" s="15">
        <v>1.7450000000000001</v>
      </c>
      <c r="L60" s="18"/>
    </row>
    <row r="61" spans="1:12" x14ac:dyDescent="0.25">
      <c r="A61" s="6" t="s">
        <v>27</v>
      </c>
      <c r="B61" s="6" t="s">
        <v>28</v>
      </c>
      <c r="C61" s="15">
        <v>-3.1749999999999998</v>
      </c>
      <c r="D61" s="15">
        <v>20.376999999999999</v>
      </c>
      <c r="E61" s="15">
        <v>24.384</v>
      </c>
      <c r="F61" s="15">
        <v>28.268000000000001</v>
      </c>
      <c r="G61" s="15">
        <v>26.547999999999998</v>
      </c>
      <c r="H61" s="15">
        <v>26.279</v>
      </c>
      <c r="I61" s="15">
        <v>20.702999999999999</v>
      </c>
      <c r="J61" s="15">
        <v>19.600999999999999</v>
      </c>
      <c r="K61" s="15">
        <v>9.984</v>
      </c>
      <c r="L61" s="18">
        <v>22.216000000000001</v>
      </c>
    </row>
    <row r="62" spans="1:12" x14ac:dyDescent="0.25">
      <c r="A62" s="6" t="s">
        <v>391</v>
      </c>
      <c r="B62" s="6" t="s">
        <v>392</v>
      </c>
      <c r="C62" s="15">
        <v>-3.0457999999999998</v>
      </c>
      <c r="D62" s="15">
        <v>20.508500000000002</v>
      </c>
      <c r="E62" s="15">
        <v>24.496600000000001</v>
      </c>
      <c r="F62" s="15">
        <v>28.3474</v>
      </c>
      <c r="G62" s="15">
        <v>26.596499999999999</v>
      </c>
      <c r="H62" s="15">
        <v>26.314499999999999</v>
      </c>
      <c r="I62" s="15">
        <v>20.7258</v>
      </c>
      <c r="J62" s="15">
        <v>19.613600000000002</v>
      </c>
      <c r="K62" s="15">
        <v>10.0639</v>
      </c>
      <c r="L62" s="18">
        <v>23.119780587521898</v>
      </c>
    </row>
    <row r="63" spans="1:12" x14ac:dyDescent="0.25">
      <c r="A63" s="6" t="s">
        <v>393</v>
      </c>
      <c r="B63" s="6" t="s">
        <v>394</v>
      </c>
      <c r="C63" s="15">
        <v>-3.7770000000000001</v>
      </c>
      <c r="D63" s="15">
        <v>19.648</v>
      </c>
      <c r="E63" s="15">
        <v>23.657</v>
      </c>
      <c r="F63" s="15">
        <v>27.541</v>
      </c>
      <c r="G63" s="15">
        <v>26.04</v>
      </c>
      <c r="H63" s="15">
        <v>26.077999999999999</v>
      </c>
      <c r="I63" s="15">
        <v>20.501999999999999</v>
      </c>
      <c r="J63" s="15">
        <v>19.399999999999999</v>
      </c>
      <c r="K63" s="15">
        <v>39.85</v>
      </c>
      <c r="L63" s="18">
        <v>52.438000000000002</v>
      </c>
    </row>
    <row r="64" spans="1:12" x14ac:dyDescent="0.25">
      <c r="A64" s="6" t="s">
        <v>395</v>
      </c>
      <c r="B64" s="6" t="s">
        <v>64</v>
      </c>
      <c r="C64" s="16">
        <v>-5.0299999999999997E-2</v>
      </c>
      <c r="D64" s="16">
        <v>0.6159</v>
      </c>
      <c r="E64" s="16">
        <v>0.38650000000000001</v>
      </c>
      <c r="F64" s="16">
        <v>0.4481</v>
      </c>
      <c r="G64" s="16">
        <v>0.42080000000000001</v>
      </c>
      <c r="H64" s="16">
        <v>0.41660000000000003</v>
      </c>
      <c r="I64" s="16">
        <v>0.32819999999999999</v>
      </c>
      <c r="J64" s="16">
        <v>0.31069999999999998</v>
      </c>
      <c r="K64" s="16">
        <v>0.1583</v>
      </c>
      <c r="L64" s="19">
        <v>0.35215978441784901</v>
      </c>
    </row>
    <row r="65" spans="1:12" x14ac:dyDescent="0.25">
      <c r="A65" s="6" t="s">
        <v>396</v>
      </c>
      <c r="B65" s="6" t="s">
        <v>56</v>
      </c>
      <c r="C65" s="16" t="s">
        <v>23</v>
      </c>
      <c r="D65" s="16">
        <v>8.0694999999999997</v>
      </c>
      <c r="E65" s="16">
        <v>14.358700000000001</v>
      </c>
      <c r="F65" s="16">
        <v>24.727</v>
      </c>
      <c r="G65" s="16">
        <v>23.4299</v>
      </c>
      <c r="H65" s="16">
        <v>21.293199999999999</v>
      </c>
      <c r="I65" s="16">
        <v>28.247</v>
      </c>
      <c r="J65" s="16">
        <v>27.646599999999999</v>
      </c>
      <c r="K65" s="16">
        <v>45.178100000000001</v>
      </c>
      <c r="L65" s="19">
        <v>20.502056480205301</v>
      </c>
    </row>
    <row r="66" spans="1:12" x14ac:dyDescent="0.25">
      <c r="A66" s="6" t="s">
        <v>397</v>
      </c>
      <c r="B66" s="6" t="s">
        <v>398</v>
      </c>
      <c r="C66" s="16">
        <v>-0.22220000000000001</v>
      </c>
      <c r="D66" s="16">
        <v>1.6278999999999999</v>
      </c>
      <c r="E66" s="16">
        <v>1.0782</v>
      </c>
      <c r="F66" s="16">
        <v>1.1229</v>
      </c>
      <c r="G66" s="16">
        <v>1.419</v>
      </c>
      <c r="H66" s="16">
        <v>0.27579999999999999</v>
      </c>
      <c r="I66" s="16">
        <v>0.55220000000000002</v>
      </c>
      <c r="J66" s="16">
        <v>0.68269999999999997</v>
      </c>
      <c r="K66" s="16">
        <v>0.33550000000000002</v>
      </c>
      <c r="L66" s="19">
        <v>1.0049986490137801</v>
      </c>
    </row>
    <row r="67" spans="1:12" x14ac:dyDescent="0.25">
      <c r="A67" s="7" t="s">
        <v>29</v>
      </c>
      <c r="B67" s="7"/>
      <c r="C67" s="7" t="s">
        <v>30</v>
      </c>
      <c r="D67" s="7"/>
      <c r="E67" s="7"/>
      <c r="F67" s="7"/>
      <c r="G67" s="7"/>
      <c r="H67" s="7"/>
      <c r="I67" s="7"/>
      <c r="J67" s="7"/>
      <c r="K67" s="7"/>
      <c r="L67" s="7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S89"/>
  <sheetViews>
    <sheetView topLeftCell="A49" workbookViewId="0">
      <selection activeCell="F21" sqref="F21"/>
    </sheetView>
  </sheetViews>
  <sheetFormatPr defaultRowHeight="15" x14ac:dyDescent="0.25"/>
  <cols>
    <col min="1" max="1" width="35.140625" customWidth="1"/>
    <col min="2" max="2" width="9.140625" customWidth="1"/>
    <col min="3" max="12" width="11.85546875" customWidth="1"/>
    <col min="13" max="13" width="30.71093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0.25" x14ac:dyDescent="0.25">
      <c r="A2" s="8" t="s">
        <v>165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x14ac:dyDescent="0.25">
      <c r="A4" s="3" t="s">
        <v>31</v>
      </c>
      <c r="B4" s="3"/>
      <c r="C4" s="4" t="s">
        <v>32</v>
      </c>
      <c r="D4" s="4" t="s">
        <v>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</row>
    <row r="5" spans="1:13" x14ac:dyDescent="0.25">
      <c r="A5" s="9" t="s">
        <v>9</v>
      </c>
      <c r="B5" s="9"/>
      <c r="C5" s="5" t="s">
        <v>33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</row>
    <row r="6" spans="1:13" x14ac:dyDescent="0.25">
      <c r="A6" s="6" t="s">
        <v>41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3" x14ac:dyDescent="0.25">
      <c r="A7" s="120" t="s">
        <v>166</v>
      </c>
      <c r="B7" s="120" t="s">
        <v>167</v>
      </c>
      <c r="C7" s="23">
        <v>42.264000000000003</v>
      </c>
      <c r="D7" s="23">
        <v>35.774000000000001</v>
      </c>
      <c r="E7" s="23">
        <v>18.945</v>
      </c>
      <c r="F7" s="23">
        <v>31.212</v>
      </c>
      <c r="G7" s="23">
        <v>51.746000000000002</v>
      </c>
      <c r="H7" s="23">
        <v>31.209</v>
      </c>
      <c r="I7" s="23">
        <v>17.619</v>
      </c>
      <c r="J7" s="23">
        <v>21.331</v>
      </c>
      <c r="K7" s="23">
        <v>2.9359999999999999</v>
      </c>
      <c r="L7" s="23">
        <v>7.3209999999999997</v>
      </c>
      <c r="M7" s="24" t="s">
        <v>401</v>
      </c>
    </row>
    <row r="8" spans="1:13" x14ac:dyDescent="0.25">
      <c r="A8" s="10" t="s">
        <v>168</v>
      </c>
      <c r="B8" s="10" t="s">
        <v>169</v>
      </c>
      <c r="C8" s="12">
        <v>42.264000000000003</v>
      </c>
      <c r="D8" s="12">
        <v>35.307000000000002</v>
      </c>
      <c r="E8" s="12">
        <v>18.945</v>
      </c>
      <c r="F8" s="12">
        <v>31.212</v>
      </c>
      <c r="G8" s="12">
        <v>51.746000000000002</v>
      </c>
      <c r="H8" s="12">
        <v>31.209</v>
      </c>
      <c r="I8" s="12">
        <v>17.619</v>
      </c>
      <c r="J8" s="12">
        <v>21.331</v>
      </c>
      <c r="K8" s="12">
        <v>2.9359999999999999</v>
      </c>
      <c r="L8" s="12">
        <v>7.3209999999999997</v>
      </c>
    </row>
    <row r="9" spans="1:13" x14ac:dyDescent="0.25">
      <c r="A9" s="10" t="s">
        <v>170</v>
      </c>
      <c r="B9" s="10" t="s">
        <v>171</v>
      </c>
      <c r="C9" s="12">
        <v>0</v>
      </c>
      <c r="D9" s="12">
        <v>0.46700000000000003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</row>
    <row r="10" spans="1:13" x14ac:dyDescent="0.25">
      <c r="A10" s="120" t="s">
        <v>172</v>
      </c>
      <c r="B10" s="120" t="s">
        <v>173</v>
      </c>
      <c r="C10" s="23">
        <v>4.1859999999999999</v>
      </c>
      <c r="D10" s="23">
        <v>4.47</v>
      </c>
      <c r="E10" s="23">
        <v>3.6469999999999998</v>
      </c>
      <c r="F10" s="23">
        <v>3.4239999999999999</v>
      </c>
      <c r="G10" s="23">
        <v>4.7060000000000004</v>
      </c>
      <c r="H10" s="23">
        <v>4.1399999999999997</v>
      </c>
      <c r="I10" s="23">
        <v>6.4669999999999996</v>
      </c>
      <c r="J10" s="23">
        <v>6.4459999999999997</v>
      </c>
      <c r="K10" s="23">
        <v>9.5630000000000006</v>
      </c>
      <c r="L10" s="23">
        <v>7.3449999999999998</v>
      </c>
      <c r="M10" s="24" t="s">
        <v>400</v>
      </c>
    </row>
    <row r="11" spans="1:13" x14ac:dyDescent="0.25">
      <c r="A11" s="10" t="s">
        <v>174</v>
      </c>
      <c r="B11" s="10" t="s">
        <v>175</v>
      </c>
      <c r="C11" s="12">
        <v>4.1859999999999999</v>
      </c>
      <c r="D11" s="12">
        <v>4.47</v>
      </c>
      <c r="E11" s="12">
        <v>3.6469999999999998</v>
      </c>
      <c r="F11" s="12">
        <v>3.4239999999999999</v>
      </c>
      <c r="G11" s="12">
        <v>4.7060000000000004</v>
      </c>
      <c r="H11" s="12">
        <v>4.1399999999999997</v>
      </c>
      <c r="I11" s="12">
        <v>6.4669999999999996</v>
      </c>
      <c r="J11" s="12">
        <v>6.4459999999999997</v>
      </c>
      <c r="K11" s="12">
        <v>9.5630000000000006</v>
      </c>
      <c r="L11" s="12">
        <v>7.3449999999999998</v>
      </c>
    </row>
    <row r="12" spans="1:13" x14ac:dyDescent="0.25">
      <c r="A12" s="10" t="s">
        <v>176</v>
      </c>
      <c r="B12" s="10" t="s">
        <v>177</v>
      </c>
      <c r="C12" s="12" t="s">
        <v>23</v>
      </c>
      <c r="D12" s="12" t="s">
        <v>23</v>
      </c>
      <c r="E12" s="12" t="s">
        <v>23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</row>
    <row r="13" spans="1:13" x14ac:dyDescent="0.25">
      <c r="A13" s="120" t="s">
        <v>178</v>
      </c>
      <c r="B13" s="120" t="s">
        <v>179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4" t="s">
        <v>400</v>
      </c>
    </row>
    <row r="14" spans="1:13" x14ac:dyDescent="0.25">
      <c r="A14" s="10" t="s">
        <v>180</v>
      </c>
      <c r="B14" s="10" t="s">
        <v>181</v>
      </c>
      <c r="C14" s="12" t="s">
        <v>23</v>
      </c>
      <c r="D14" s="12" t="s">
        <v>23</v>
      </c>
      <c r="E14" s="12" t="s">
        <v>23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</row>
    <row r="15" spans="1:13" x14ac:dyDescent="0.25">
      <c r="A15" s="10" t="s">
        <v>182</v>
      </c>
      <c r="B15" s="10" t="s">
        <v>183</v>
      </c>
      <c r="C15" s="12" t="s">
        <v>23</v>
      </c>
      <c r="D15" s="12" t="s">
        <v>23</v>
      </c>
      <c r="E15" s="12" t="s">
        <v>23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</row>
    <row r="16" spans="1:13" x14ac:dyDescent="0.25">
      <c r="A16" s="10" t="s">
        <v>184</v>
      </c>
      <c r="B16" s="10" t="s">
        <v>185</v>
      </c>
      <c r="C16" s="12" t="s">
        <v>23</v>
      </c>
      <c r="D16" s="12" t="s">
        <v>23</v>
      </c>
      <c r="E16" s="12" t="s">
        <v>23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</row>
    <row r="17" spans="1:19" x14ac:dyDescent="0.25">
      <c r="A17" s="10" t="s">
        <v>186</v>
      </c>
      <c r="B17" s="10" t="s">
        <v>187</v>
      </c>
      <c r="C17" s="12" t="s">
        <v>23</v>
      </c>
      <c r="D17" s="12" t="s">
        <v>23</v>
      </c>
      <c r="E17" s="12" t="s">
        <v>23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</row>
    <row r="18" spans="1:19" x14ac:dyDescent="0.25">
      <c r="A18" s="80" t="s">
        <v>188</v>
      </c>
      <c r="B18" s="80" t="s">
        <v>189</v>
      </c>
      <c r="C18" s="79">
        <v>27.553999999999998</v>
      </c>
      <c r="D18" s="79">
        <v>28.637</v>
      </c>
      <c r="E18" s="79">
        <v>30.494</v>
      </c>
      <c r="F18" s="79">
        <v>17.715</v>
      </c>
      <c r="G18" s="79">
        <v>18.904</v>
      </c>
      <c r="H18" s="79">
        <v>19.748000000000001</v>
      </c>
      <c r="I18" s="79">
        <v>36.747999999999998</v>
      </c>
      <c r="J18" s="79">
        <v>40.850999999999999</v>
      </c>
      <c r="K18" s="79">
        <v>42.612000000000002</v>
      </c>
      <c r="L18" s="79">
        <v>55.774999999999999</v>
      </c>
      <c r="M18" s="58" t="s">
        <v>400</v>
      </c>
      <c r="N18" s="58" t="s">
        <v>444</v>
      </c>
      <c r="O18" s="24"/>
      <c r="P18" s="24"/>
      <c r="Q18" s="24"/>
      <c r="R18" s="24"/>
      <c r="S18" s="24"/>
    </row>
    <row r="19" spans="1:19" x14ac:dyDescent="0.25">
      <c r="A19" s="10" t="s">
        <v>190</v>
      </c>
      <c r="B19" s="10" t="s">
        <v>191</v>
      </c>
      <c r="C19" s="12" t="s">
        <v>23</v>
      </c>
      <c r="D19" s="12" t="s">
        <v>23</v>
      </c>
      <c r="E19" s="12">
        <v>4.0000000000000001E-3</v>
      </c>
      <c r="F19" s="12" t="s">
        <v>23</v>
      </c>
      <c r="G19" s="12">
        <v>0.183</v>
      </c>
      <c r="H19" s="12">
        <v>0.14199999999999999</v>
      </c>
      <c r="I19" s="12">
        <v>0.19800000000000001</v>
      </c>
      <c r="J19" s="12">
        <v>0.22</v>
      </c>
      <c r="K19" s="12">
        <v>0.223</v>
      </c>
      <c r="L19" s="12">
        <v>5.3999999999999999E-2</v>
      </c>
    </row>
    <row r="20" spans="1:19" x14ac:dyDescent="0.25">
      <c r="A20" s="10" t="s">
        <v>192</v>
      </c>
      <c r="B20" s="10" t="s">
        <v>193</v>
      </c>
      <c r="C20" s="12" t="s">
        <v>23</v>
      </c>
      <c r="D20" s="12" t="s">
        <v>23</v>
      </c>
      <c r="E20" s="12" t="s">
        <v>23</v>
      </c>
      <c r="F20" s="12" t="s">
        <v>23</v>
      </c>
      <c r="G20" s="12" t="s">
        <v>23</v>
      </c>
      <c r="H20" s="12" t="s">
        <v>23</v>
      </c>
      <c r="I20" s="12" t="s">
        <v>23</v>
      </c>
      <c r="J20" s="12" t="s">
        <v>23</v>
      </c>
      <c r="K20" s="12" t="s">
        <v>23</v>
      </c>
      <c r="L20" s="12">
        <v>0</v>
      </c>
    </row>
    <row r="21" spans="1:19" x14ac:dyDescent="0.25">
      <c r="A21" s="10" t="s">
        <v>194</v>
      </c>
      <c r="B21" s="10" t="s">
        <v>195</v>
      </c>
      <c r="C21" s="12" t="s">
        <v>23</v>
      </c>
      <c r="D21" s="12" t="s">
        <v>23</v>
      </c>
      <c r="E21" s="12">
        <v>0.23300000000000001</v>
      </c>
      <c r="F21" s="12">
        <v>1.0999999999999999E-2</v>
      </c>
      <c r="G21" s="12">
        <v>0.06</v>
      </c>
      <c r="H21" s="12">
        <v>2E-3</v>
      </c>
      <c r="I21" s="12">
        <v>2E-3</v>
      </c>
      <c r="J21" s="12">
        <v>1.4999999999999999E-2</v>
      </c>
      <c r="K21" s="12">
        <v>3.7999999999999999E-2</v>
      </c>
      <c r="L21" s="12">
        <v>3.6579999999999999</v>
      </c>
    </row>
    <row r="22" spans="1:19" x14ac:dyDescent="0.25">
      <c r="A22" s="80" t="s">
        <v>196</v>
      </c>
      <c r="B22" s="80" t="s">
        <v>197</v>
      </c>
      <c r="C22" s="79" t="s">
        <v>23</v>
      </c>
      <c r="D22" s="79" t="s">
        <v>23</v>
      </c>
      <c r="E22" s="79">
        <v>30.257000000000001</v>
      </c>
      <c r="F22" s="79">
        <v>17.704000000000001</v>
      </c>
      <c r="G22" s="79">
        <v>18.661000000000001</v>
      </c>
      <c r="H22" s="79">
        <v>19.603999999999999</v>
      </c>
      <c r="I22" s="79">
        <v>36.548000000000002</v>
      </c>
      <c r="J22" s="79">
        <v>40.616</v>
      </c>
      <c r="K22" s="79">
        <v>42.350999999999999</v>
      </c>
      <c r="L22" s="79">
        <v>52.063000000000002</v>
      </c>
      <c r="M22" s="58" t="s">
        <v>444</v>
      </c>
      <c r="N22" s="24"/>
      <c r="O22" s="24"/>
      <c r="P22" s="24"/>
      <c r="Q22" s="36"/>
      <c r="R22" s="36"/>
      <c r="S22" s="36"/>
    </row>
    <row r="23" spans="1:19" x14ac:dyDescent="0.25">
      <c r="A23" s="6" t="s">
        <v>39</v>
      </c>
      <c r="B23" s="6" t="s">
        <v>40</v>
      </c>
      <c r="C23" s="15">
        <v>74.004000000000005</v>
      </c>
      <c r="D23" s="15">
        <v>68.881</v>
      </c>
      <c r="E23" s="15">
        <v>53.085999999999999</v>
      </c>
      <c r="F23" s="15">
        <v>52.350999999999999</v>
      </c>
      <c r="G23" s="15">
        <v>75.355999999999995</v>
      </c>
      <c r="H23" s="15">
        <v>55.097000000000001</v>
      </c>
      <c r="I23" s="15">
        <v>60.834000000000003</v>
      </c>
      <c r="J23" s="15">
        <v>68.628</v>
      </c>
      <c r="K23" s="15">
        <v>55.110999999999997</v>
      </c>
      <c r="L23" s="15">
        <v>70.441000000000003</v>
      </c>
      <c r="Q23" s="36"/>
      <c r="R23" s="36"/>
      <c r="S23" s="36"/>
    </row>
    <row r="24" spans="1:19" x14ac:dyDescent="0.25">
      <c r="A24" s="10" t="s">
        <v>198</v>
      </c>
      <c r="B24" s="10" t="s">
        <v>199</v>
      </c>
      <c r="C24" s="12">
        <v>0</v>
      </c>
      <c r="D24" s="12" t="s">
        <v>23</v>
      </c>
      <c r="E24" s="12">
        <v>0</v>
      </c>
      <c r="F24" s="12">
        <v>0</v>
      </c>
      <c r="G24" s="12">
        <v>9.2999999999999999E-2</v>
      </c>
      <c r="H24" s="12">
        <v>1.129</v>
      </c>
      <c r="I24" s="12">
        <v>1.7849999999999999</v>
      </c>
      <c r="J24" s="12">
        <v>3.6110000000000002</v>
      </c>
      <c r="K24" s="12">
        <v>3.8559999999999999</v>
      </c>
      <c r="L24" s="12">
        <v>3.9390000000000001</v>
      </c>
    </row>
    <row r="25" spans="1:19" x14ac:dyDescent="0.25">
      <c r="A25" s="10" t="s">
        <v>200</v>
      </c>
      <c r="B25" s="10" t="s">
        <v>201</v>
      </c>
      <c r="C25" s="12">
        <v>0.23699999999999999</v>
      </c>
      <c r="D25" s="12">
        <v>5.2240000000000002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</row>
    <row r="26" spans="1:19" x14ac:dyDescent="0.25">
      <c r="A26" s="10" t="s">
        <v>202</v>
      </c>
      <c r="B26" s="10" t="s">
        <v>203</v>
      </c>
      <c r="C26" s="12">
        <v>0.23699999999999999</v>
      </c>
      <c r="D26" s="12">
        <v>5.2240000000000002</v>
      </c>
      <c r="E26" s="12" t="s">
        <v>23</v>
      </c>
      <c r="F26" s="12" t="s">
        <v>23</v>
      </c>
      <c r="G26" s="12" t="s">
        <v>23</v>
      </c>
      <c r="H26" s="12" t="s">
        <v>23</v>
      </c>
      <c r="I26" s="12" t="s">
        <v>23</v>
      </c>
      <c r="J26" s="12" t="s">
        <v>23</v>
      </c>
      <c r="K26" s="12" t="s">
        <v>23</v>
      </c>
      <c r="L26" s="12" t="s">
        <v>23</v>
      </c>
    </row>
    <row r="27" spans="1:19" x14ac:dyDescent="0.25">
      <c r="A27" s="80" t="s">
        <v>204</v>
      </c>
      <c r="B27" s="80" t="s">
        <v>205</v>
      </c>
      <c r="C27" s="79">
        <v>15.132999999999999</v>
      </c>
      <c r="D27" s="79">
        <v>13.510999999999999</v>
      </c>
      <c r="E27" s="79">
        <v>1.7050000000000001</v>
      </c>
      <c r="F27" s="79">
        <v>153.84899999999999</v>
      </c>
      <c r="G27" s="79">
        <v>150.20599999999999</v>
      </c>
      <c r="H27" s="79">
        <v>151.55699999999999</v>
      </c>
      <c r="I27" s="79">
        <v>213.32599999999999</v>
      </c>
      <c r="J27" s="79">
        <v>228.48</v>
      </c>
      <c r="K27" s="79">
        <v>230.81899999999999</v>
      </c>
      <c r="L27" s="79">
        <v>268.37700000000001</v>
      </c>
      <c r="M27" s="58" t="s">
        <v>444</v>
      </c>
    </row>
    <row r="28" spans="1:19" x14ac:dyDescent="0.25">
      <c r="A28" s="10" t="s">
        <v>206</v>
      </c>
      <c r="B28" s="10" t="s">
        <v>207</v>
      </c>
      <c r="C28" s="12">
        <v>0</v>
      </c>
      <c r="D28" s="12">
        <v>0</v>
      </c>
      <c r="E28" s="12">
        <v>0</v>
      </c>
      <c r="F28" s="12">
        <v>0</v>
      </c>
      <c r="G28" s="12">
        <v>0.34899999999999998</v>
      </c>
      <c r="H28" s="12">
        <v>0.28199999999999997</v>
      </c>
      <c r="I28" s="12">
        <v>0.79700000000000004</v>
      </c>
      <c r="J28" s="12">
        <v>0.67700000000000005</v>
      </c>
      <c r="K28" s="12">
        <v>0.59699999999999998</v>
      </c>
      <c r="L28" s="12">
        <v>1.2090000000000001</v>
      </c>
    </row>
    <row r="29" spans="1:19" x14ac:dyDescent="0.25">
      <c r="A29" s="11" t="s">
        <v>208</v>
      </c>
      <c r="B29" s="11" t="s">
        <v>209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</row>
    <row r="30" spans="1:19" x14ac:dyDescent="0.25">
      <c r="A30" s="11" t="s">
        <v>210</v>
      </c>
      <c r="B30" s="11" t="s">
        <v>211</v>
      </c>
      <c r="C30" s="20">
        <v>0</v>
      </c>
      <c r="D30" s="20">
        <v>0</v>
      </c>
      <c r="E30" s="20">
        <v>0</v>
      </c>
      <c r="F30" s="20">
        <v>0</v>
      </c>
      <c r="G30" s="20">
        <v>0.34899999999999998</v>
      </c>
      <c r="H30" s="20">
        <v>0.28199999999999997</v>
      </c>
      <c r="I30" s="20">
        <v>0.79700000000000004</v>
      </c>
      <c r="J30" s="20">
        <v>0.67700000000000005</v>
      </c>
      <c r="K30" s="20">
        <v>0.59699999999999998</v>
      </c>
      <c r="L30" s="20">
        <v>1.2090000000000001</v>
      </c>
    </row>
    <row r="31" spans="1:19" x14ac:dyDescent="0.25">
      <c r="A31" s="10" t="s">
        <v>192</v>
      </c>
      <c r="B31" s="10" t="s">
        <v>212</v>
      </c>
      <c r="C31" s="12" t="s">
        <v>23</v>
      </c>
      <c r="D31" s="12" t="s">
        <v>23</v>
      </c>
      <c r="E31" s="12" t="s">
        <v>23</v>
      </c>
      <c r="F31" s="12" t="s">
        <v>23</v>
      </c>
      <c r="G31" s="12" t="s">
        <v>23</v>
      </c>
      <c r="H31" s="12" t="s">
        <v>23</v>
      </c>
      <c r="I31" s="12" t="s">
        <v>23</v>
      </c>
      <c r="J31" s="12" t="s">
        <v>23</v>
      </c>
      <c r="K31" s="12" t="s">
        <v>23</v>
      </c>
      <c r="L31" s="12">
        <v>0.35899999999999999</v>
      </c>
    </row>
    <row r="32" spans="1:19" x14ac:dyDescent="0.25">
      <c r="A32" s="10" t="s">
        <v>213</v>
      </c>
      <c r="B32" s="10" t="s">
        <v>214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</row>
    <row r="33" spans="1:19" x14ac:dyDescent="0.25">
      <c r="A33" s="77" t="s">
        <v>215</v>
      </c>
      <c r="B33" s="77" t="s">
        <v>216</v>
      </c>
      <c r="C33" s="78">
        <v>15.132999999999999</v>
      </c>
      <c r="D33" s="78">
        <v>13.510999999999999</v>
      </c>
      <c r="E33" s="78">
        <v>1.7050000000000001</v>
      </c>
      <c r="F33" s="78">
        <v>153.84899999999999</v>
      </c>
      <c r="G33" s="78">
        <v>149.857</v>
      </c>
      <c r="H33" s="78">
        <v>151.27500000000001</v>
      </c>
      <c r="I33" s="78">
        <v>212.529</v>
      </c>
      <c r="J33" s="78">
        <v>227.803</v>
      </c>
      <c r="K33" s="78">
        <v>230.22200000000001</v>
      </c>
      <c r="L33" s="78">
        <v>266.80900000000003</v>
      </c>
      <c r="M33" s="58" t="s">
        <v>444</v>
      </c>
      <c r="N33" s="24"/>
      <c r="O33" s="24"/>
      <c r="P33" s="24"/>
      <c r="Q33" s="24"/>
      <c r="R33" s="24"/>
    </row>
    <row r="34" spans="1:19" x14ac:dyDescent="0.25">
      <c r="A34" s="6" t="s">
        <v>217</v>
      </c>
      <c r="B34" s="6" t="s">
        <v>218</v>
      </c>
      <c r="C34" s="15">
        <v>15.37</v>
      </c>
      <c r="D34" s="15">
        <v>18.734999999999999</v>
      </c>
      <c r="E34" s="15">
        <v>1.7050000000000001</v>
      </c>
      <c r="F34" s="15">
        <v>153.84899999999999</v>
      </c>
      <c r="G34" s="15">
        <v>150.29900000000001</v>
      </c>
      <c r="H34" s="15">
        <v>152.68600000000001</v>
      </c>
      <c r="I34" s="15">
        <v>215.11099999999999</v>
      </c>
      <c r="J34" s="15">
        <v>232.09100000000001</v>
      </c>
      <c r="K34" s="15">
        <v>234.67500000000001</v>
      </c>
      <c r="L34" s="15">
        <v>272.31599999999997</v>
      </c>
    </row>
    <row r="35" spans="1:19" x14ac:dyDescent="0.25">
      <c r="A35" s="6" t="s">
        <v>41</v>
      </c>
      <c r="B35" s="6" t="s">
        <v>42</v>
      </c>
      <c r="C35" s="15">
        <v>89.373999999999995</v>
      </c>
      <c r="D35" s="15">
        <v>87.616</v>
      </c>
      <c r="E35" s="15">
        <v>54.790999999999997</v>
      </c>
      <c r="F35" s="15">
        <v>206.2</v>
      </c>
      <c r="G35" s="15">
        <v>225.655</v>
      </c>
      <c r="H35" s="15">
        <v>207.78299999999999</v>
      </c>
      <c r="I35" s="15">
        <v>275.94499999999999</v>
      </c>
      <c r="J35" s="15">
        <v>300.71899999999999</v>
      </c>
      <c r="K35" s="15">
        <v>289.786</v>
      </c>
      <c r="L35" s="15">
        <v>342.75700000000001</v>
      </c>
    </row>
    <row r="36" spans="1:19" x14ac:dyDescent="0.25">
      <c r="A36" s="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9" x14ac:dyDescent="0.25">
      <c r="A37" s="6" t="s">
        <v>219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9" x14ac:dyDescent="0.25">
      <c r="A38" s="120" t="s">
        <v>220</v>
      </c>
      <c r="B38" s="120" t="s">
        <v>221</v>
      </c>
      <c r="C38" s="23">
        <v>2.0110000000000001</v>
      </c>
      <c r="D38" s="23">
        <v>1.5589999999999999</v>
      </c>
      <c r="E38" s="23">
        <v>1.4990000000000001</v>
      </c>
      <c r="F38" s="23">
        <v>1.7769999999999999</v>
      </c>
      <c r="G38" s="23">
        <v>3.323</v>
      </c>
      <c r="H38" s="23">
        <v>4.7720000000000002</v>
      </c>
      <c r="I38" s="23">
        <v>8.9440000000000008</v>
      </c>
      <c r="J38" s="23">
        <v>18.111000000000001</v>
      </c>
      <c r="K38" s="23">
        <v>14.385999999999999</v>
      </c>
      <c r="L38" s="23">
        <v>13.035</v>
      </c>
      <c r="M38" s="24" t="s">
        <v>400</v>
      </c>
    </row>
    <row r="39" spans="1:19" x14ac:dyDescent="0.25">
      <c r="A39" s="10" t="s">
        <v>222</v>
      </c>
      <c r="B39" s="10" t="s">
        <v>223</v>
      </c>
      <c r="C39" s="12">
        <v>2.0110000000000001</v>
      </c>
      <c r="D39" s="12">
        <v>1.5589999999999999</v>
      </c>
      <c r="E39" s="12">
        <v>0.629</v>
      </c>
      <c r="F39" s="12">
        <v>0.89300000000000002</v>
      </c>
      <c r="G39" s="12">
        <v>2.419</v>
      </c>
      <c r="H39" s="12">
        <v>3.1240000000000001</v>
      </c>
      <c r="I39" s="12">
        <v>6.867</v>
      </c>
      <c r="J39" s="12">
        <v>5.9290000000000003</v>
      </c>
      <c r="K39" s="12">
        <v>5.0039999999999996</v>
      </c>
      <c r="L39" s="12">
        <v>6.2439999999999998</v>
      </c>
    </row>
    <row r="40" spans="1:19" x14ac:dyDescent="0.25">
      <c r="A40" s="10" t="s">
        <v>224</v>
      </c>
      <c r="B40" s="10" t="s">
        <v>225</v>
      </c>
      <c r="C40" s="12" t="s">
        <v>23</v>
      </c>
      <c r="D40" s="12" t="s">
        <v>23</v>
      </c>
      <c r="E40" s="12">
        <v>0.76400000000000001</v>
      </c>
      <c r="F40" s="12">
        <v>0.76600000000000001</v>
      </c>
      <c r="G40" s="12">
        <v>0.75900000000000001</v>
      </c>
      <c r="H40" s="12">
        <v>0.84099999999999997</v>
      </c>
      <c r="I40" s="12">
        <v>1.2989999999999999</v>
      </c>
      <c r="J40" s="12">
        <v>1.5329999999999999</v>
      </c>
      <c r="K40" s="12">
        <v>1.26</v>
      </c>
      <c r="L40" s="12">
        <v>0.98199999999999998</v>
      </c>
    </row>
    <row r="41" spans="1:19" x14ac:dyDescent="0.25">
      <c r="A41" s="80" t="s">
        <v>226</v>
      </c>
      <c r="B41" s="80" t="s">
        <v>227</v>
      </c>
      <c r="C41" s="79" t="s">
        <v>23</v>
      </c>
      <c r="D41" s="79" t="s">
        <v>23</v>
      </c>
      <c r="E41" s="79">
        <v>0.106</v>
      </c>
      <c r="F41" s="79">
        <v>0.11799999999999999</v>
      </c>
      <c r="G41" s="79">
        <v>0.125</v>
      </c>
      <c r="H41" s="79">
        <v>0.24399999999999999</v>
      </c>
      <c r="I41" s="79">
        <v>0.32500000000000001</v>
      </c>
      <c r="J41" s="79">
        <v>9.7210000000000001</v>
      </c>
      <c r="K41" s="79">
        <v>7.5960000000000001</v>
      </c>
      <c r="L41" s="79">
        <v>5.1440000000000001</v>
      </c>
      <c r="M41" s="58" t="s">
        <v>819</v>
      </c>
    </row>
    <row r="42" spans="1:19" x14ac:dyDescent="0.25">
      <c r="A42" s="10" t="s">
        <v>228</v>
      </c>
      <c r="B42" s="10" t="s">
        <v>229</v>
      </c>
      <c r="C42" s="12" t="s">
        <v>23</v>
      </c>
      <c r="D42" s="12" t="s">
        <v>23</v>
      </c>
      <c r="E42" s="12" t="s">
        <v>23</v>
      </c>
      <c r="F42" s="12" t="s">
        <v>23</v>
      </c>
      <c r="G42" s="12">
        <v>0.02</v>
      </c>
      <c r="H42" s="12">
        <v>0.56299999999999994</v>
      </c>
      <c r="I42" s="12">
        <v>0.45300000000000001</v>
      </c>
      <c r="J42" s="12">
        <v>0.92800000000000005</v>
      </c>
      <c r="K42" s="12">
        <v>0.52600000000000002</v>
      </c>
      <c r="L42" s="12">
        <v>0.66500000000000004</v>
      </c>
    </row>
    <row r="43" spans="1:19" x14ac:dyDescent="0.25">
      <c r="A43" s="120" t="s">
        <v>230</v>
      </c>
      <c r="B43" s="120" t="s">
        <v>231</v>
      </c>
      <c r="C43" s="23">
        <v>0.61</v>
      </c>
      <c r="D43" s="23">
        <v>0.73499999999999999</v>
      </c>
      <c r="E43" s="23">
        <v>0.73299999999999998</v>
      </c>
      <c r="F43" s="23">
        <v>0.73099999999999998</v>
      </c>
      <c r="G43" s="23">
        <v>0.51100000000000001</v>
      </c>
      <c r="H43" s="23">
        <v>0.20300000000000001</v>
      </c>
      <c r="I43" s="23">
        <v>0.20200000000000001</v>
      </c>
      <c r="J43" s="23">
        <v>0.20200000000000001</v>
      </c>
      <c r="K43" s="23">
        <v>0.13400000000000001</v>
      </c>
      <c r="L43" s="23">
        <v>8.7999999999999995E-2</v>
      </c>
      <c r="M43" s="24" t="s">
        <v>401</v>
      </c>
    </row>
    <row r="44" spans="1:19" x14ac:dyDescent="0.25">
      <c r="A44" s="10" t="s">
        <v>232</v>
      </c>
      <c r="B44" s="10" t="s">
        <v>233</v>
      </c>
      <c r="C44" s="12">
        <v>0.61</v>
      </c>
      <c r="D44" s="12">
        <v>0.73499999999999999</v>
      </c>
      <c r="E44" s="12">
        <v>0.73299999999999998</v>
      </c>
      <c r="F44" s="12">
        <v>0.73099999999999998</v>
      </c>
      <c r="G44" s="12">
        <v>0.51100000000000001</v>
      </c>
      <c r="H44" s="12">
        <v>0.20300000000000001</v>
      </c>
      <c r="I44" s="12">
        <v>0.20200000000000001</v>
      </c>
      <c r="J44" s="12">
        <v>0.20200000000000001</v>
      </c>
      <c r="K44" s="12">
        <v>0.13400000000000001</v>
      </c>
      <c r="L44" s="12">
        <v>8.7999999999999995E-2</v>
      </c>
    </row>
    <row r="45" spans="1:19" x14ac:dyDescent="0.25">
      <c r="A45" s="10" t="s">
        <v>234</v>
      </c>
      <c r="B45" s="10" t="s">
        <v>235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</row>
    <row r="46" spans="1:19" x14ac:dyDescent="0.25">
      <c r="A46" s="11" t="s">
        <v>236</v>
      </c>
      <c r="B46" s="11" t="s">
        <v>237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</row>
    <row r="47" spans="1:19" x14ac:dyDescent="0.25">
      <c r="A47" s="80" t="s">
        <v>238</v>
      </c>
      <c r="B47" s="80" t="s">
        <v>239</v>
      </c>
      <c r="C47" s="79">
        <v>4.444</v>
      </c>
      <c r="D47" s="79">
        <v>1.6659999999999999</v>
      </c>
      <c r="E47" s="79">
        <v>0.22700000000000001</v>
      </c>
      <c r="F47" s="79">
        <v>0.14799999999999999</v>
      </c>
      <c r="G47" s="79">
        <v>0.33200000000000002</v>
      </c>
      <c r="H47" s="79">
        <v>1.9890000000000001</v>
      </c>
      <c r="I47" s="79">
        <v>1.2410000000000001</v>
      </c>
      <c r="J47" s="79">
        <v>2.2509999999999999</v>
      </c>
      <c r="K47" s="79">
        <v>2.2000000000000002</v>
      </c>
      <c r="L47" s="79">
        <v>4.87</v>
      </c>
      <c r="M47" s="58" t="s">
        <v>400</v>
      </c>
      <c r="N47" s="58" t="s">
        <v>444</v>
      </c>
      <c r="O47" s="24"/>
      <c r="P47" s="24"/>
      <c r="Q47" s="24"/>
      <c r="R47" s="24"/>
      <c r="S47" s="24"/>
    </row>
    <row r="48" spans="1:19" x14ac:dyDescent="0.25">
      <c r="A48" s="10" t="s">
        <v>240</v>
      </c>
      <c r="B48" s="10" t="s">
        <v>241</v>
      </c>
      <c r="C48" s="12" t="s">
        <v>23</v>
      </c>
      <c r="D48" s="12" t="s">
        <v>23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 t="s">
        <v>23</v>
      </c>
    </row>
    <row r="49" spans="1:16" x14ac:dyDescent="0.25">
      <c r="A49" s="10" t="s">
        <v>242</v>
      </c>
      <c r="B49" s="10" t="s">
        <v>243</v>
      </c>
      <c r="C49" s="12" t="s">
        <v>23</v>
      </c>
      <c r="D49" s="12" t="s">
        <v>23</v>
      </c>
      <c r="E49" s="12" t="s">
        <v>23</v>
      </c>
      <c r="F49" s="12" t="s">
        <v>23</v>
      </c>
      <c r="G49" s="12" t="s">
        <v>23</v>
      </c>
      <c r="H49" s="12" t="s">
        <v>23</v>
      </c>
      <c r="I49" s="12" t="s">
        <v>23</v>
      </c>
      <c r="J49" s="12" t="s">
        <v>23</v>
      </c>
      <c r="K49" s="12" t="s">
        <v>23</v>
      </c>
      <c r="L49" s="12">
        <v>8.7999999999999995E-2</v>
      </c>
    </row>
    <row r="50" spans="1:16" x14ac:dyDescent="0.25">
      <c r="A50" s="80" t="s">
        <v>244</v>
      </c>
      <c r="B50" s="80" t="s">
        <v>245</v>
      </c>
      <c r="C50" s="79">
        <v>4.444</v>
      </c>
      <c r="D50" s="79">
        <v>1.6659999999999999</v>
      </c>
      <c r="E50" s="79">
        <v>0.22700000000000001</v>
      </c>
      <c r="F50" s="79">
        <v>0.14799999999999999</v>
      </c>
      <c r="G50" s="79">
        <v>0.33200000000000002</v>
      </c>
      <c r="H50" s="79">
        <v>1.9890000000000001</v>
      </c>
      <c r="I50" s="79">
        <v>1.2410000000000001</v>
      </c>
      <c r="J50" s="79">
        <v>2.2509999999999999</v>
      </c>
      <c r="K50" s="79">
        <v>2.2000000000000002</v>
      </c>
      <c r="L50" s="79">
        <v>4.782</v>
      </c>
      <c r="M50" s="58" t="s">
        <v>444</v>
      </c>
      <c r="N50" s="24"/>
      <c r="O50" s="24"/>
      <c r="P50" s="24"/>
    </row>
    <row r="51" spans="1:16" x14ac:dyDescent="0.25">
      <c r="A51" s="6" t="s">
        <v>43</v>
      </c>
      <c r="B51" s="6" t="s">
        <v>44</v>
      </c>
      <c r="C51" s="15">
        <v>7.0650000000000004</v>
      </c>
      <c r="D51" s="15">
        <v>3.96</v>
      </c>
      <c r="E51" s="15">
        <v>2.4590000000000001</v>
      </c>
      <c r="F51" s="15">
        <v>2.6560000000000001</v>
      </c>
      <c r="G51" s="15">
        <v>4.1660000000000004</v>
      </c>
      <c r="H51" s="15">
        <v>6.9640000000000004</v>
      </c>
      <c r="I51" s="15">
        <v>10.387</v>
      </c>
      <c r="J51" s="15">
        <v>20.564</v>
      </c>
      <c r="K51" s="15">
        <v>16.72</v>
      </c>
      <c r="L51" s="15">
        <v>17.992999999999999</v>
      </c>
    </row>
    <row r="52" spans="1:16" x14ac:dyDescent="0.25">
      <c r="A52" s="120" t="s">
        <v>246</v>
      </c>
      <c r="B52" s="120" t="s">
        <v>247</v>
      </c>
      <c r="C52" s="23">
        <v>3.4260000000000002</v>
      </c>
      <c r="D52" s="23">
        <v>2.6989999999999998</v>
      </c>
      <c r="E52" s="23">
        <v>1.972</v>
      </c>
      <c r="F52" s="23">
        <v>1.2450000000000001</v>
      </c>
      <c r="G52" s="23">
        <v>0.73699999999999999</v>
      </c>
      <c r="H52" s="23">
        <v>0.53600000000000003</v>
      </c>
      <c r="I52" s="23">
        <v>0.33500000000000002</v>
      </c>
      <c r="J52" s="23">
        <v>0.13400000000000001</v>
      </c>
      <c r="K52" s="23">
        <v>0</v>
      </c>
      <c r="L52" s="23">
        <v>30.706</v>
      </c>
      <c r="M52" s="24" t="s">
        <v>401</v>
      </c>
    </row>
    <row r="53" spans="1:16" x14ac:dyDescent="0.25">
      <c r="A53" s="10" t="s">
        <v>248</v>
      </c>
      <c r="B53" s="10" t="s">
        <v>249</v>
      </c>
      <c r="C53" s="12">
        <v>3.4260000000000002</v>
      </c>
      <c r="D53" s="12">
        <v>2.6989999999999998</v>
      </c>
      <c r="E53" s="12">
        <v>1.972</v>
      </c>
      <c r="F53" s="12">
        <v>1.2450000000000001</v>
      </c>
      <c r="G53" s="12">
        <v>0.73699999999999999</v>
      </c>
      <c r="H53" s="12">
        <v>0.53600000000000003</v>
      </c>
      <c r="I53" s="12">
        <v>0.33500000000000002</v>
      </c>
      <c r="J53" s="12">
        <v>0.13400000000000001</v>
      </c>
      <c r="K53" s="12">
        <v>0</v>
      </c>
      <c r="L53" s="12">
        <v>30.706</v>
      </c>
    </row>
    <row r="54" spans="1:16" x14ac:dyDescent="0.25">
      <c r="A54" s="10" t="s">
        <v>250</v>
      </c>
      <c r="B54" s="10" t="s">
        <v>251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</row>
    <row r="55" spans="1:16" x14ac:dyDescent="0.25">
      <c r="A55" s="11" t="s">
        <v>252</v>
      </c>
      <c r="B55" s="11" t="s">
        <v>253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</row>
    <row r="56" spans="1:16" x14ac:dyDescent="0.25">
      <c r="A56" s="120" t="s">
        <v>254</v>
      </c>
      <c r="B56" s="120" t="s">
        <v>255</v>
      </c>
      <c r="C56" s="23">
        <v>0.46500000000000002</v>
      </c>
      <c r="D56" s="23">
        <v>4.7510000000000003</v>
      </c>
      <c r="E56" s="23">
        <v>5.4249999999999998</v>
      </c>
      <c r="F56" s="23">
        <v>6.5449999999999999</v>
      </c>
      <c r="G56" s="23">
        <v>6.4059999999999997</v>
      </c>
      <c r="H56" s="23">
        <v>12.824</v>
      </c>
      <c r="I56" s="23">
        <v>17.704999999999998</v>
      </c>
      <c r="J56" s="23">
        <v>19.289000000000001</v>
      </c>
      <c r="K56" s="23">
        <v>18.917000000000002</v>
      </c>
      <c r="L56" s="23">
        <v>41.146000000000001</v>
      </c>
      <c r="M56" s="58" t="s">
        <v>444</v>
      </c>
      <c r="N56" s="24"/>
      <c r="O56" s="24"/>
      <c r="P56" s="24"/>
    </row>
    <row r="57" spans="1:16" x14ac:dyDescent="0.25">
      <c r="A57" s="10" t="s">
        <v>256</v>
      </c>
      <c r="B57" s="10" t="s">
        <v>257</v>
      </c>
      <c r="C57" s="12" t="s">
        <v>23</v>
      </c>
      <c r="D57" s="12" t="s">
        <v>23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 t="s">
        <v>23</v>
      </c>
    </row>
    <row r="58" spans="1:16" x14ac:dyDescent="0.25">
      <c r="A58" s="10" t="s">
        <v>240</v>
      </c>
      <c r="B58" s="10" t="s">
        <v>258</v>
      </c>
      <c r="C58" s="12" t="s">
        <v>23</v>
      </c>
      <c r="D58" s="12" t="s">
        <v>23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 t="s">
        <v>23</v>
      </c>
    </row>
    <row r="59" spans="1:16" x14ac:dyDescent="0.25">
      <c r="A59" s="10" t="s">
        <v>259</v>
      </c>
      <c r="B59" s="10" t="s">
        <v>260</v>
      </c>
      <c r="C59" s="12" t="s">
        <v>23</v>
      </c>
      <c r="D59" s="12" t="s">
        <v>23</v>
      </c>
      <c r="E59" s="12">
        <v>4.407</v>
      </c>
      <c r="F59" s="12">
        <v>5.2530000000000001</v>
      </c>
      <c r="G59" s="12">
        <v>5.1509999999999998</v>
      </c>
      <c r="H59" s="12">
        <v>5.0179999999999998</v>
      </c>
      <c r="I59" s="12">
        <v>7.3410000000000002</v>
      </c>
      <c r="J59" s="12">
        <v>7.899</v>
      </c>
      <c r="K59" s="12">
        <v>7.9459999999999997</v>
      </c>
      <c r="L59" s="12">
        <v>10.542999999999999</v>
      </c>
    </row>
    <row r="60" spans="1:16" x14ac:dyDescent="0.25">
      <c r="A60" s="10" t="s">
        <v>242</v>
      </c>
      <c r="B60" s="10" t="s">
        <v>261</v>
      </c>
      <c r="C60" s="12" t="s">
        <v>23</v>
      </c>
      <c r="D60" s="12" t="s">
        <v>23</v>
      </c>
      <c r="E60" s="12" t="s">
        <v>23</v>
      </c>
      <c r="F60" s="12" t="s">
        <v>23</v>
      </c>
      <c r="G60" s="12" t="s">
        <v>23</v>
      </c>
      <c r="H60" s="12" t="s">
        <v>23</v>
      </c>
      <c r="I60" s="12" t="s">
        <v>23</v>
      </c>
      <c r="J60" s="12" t="s">
        <v>23</v>
      </c>
      <c r="K60" s="12" t="s">
        <v>23</v>
      </c>
      <c r="L60" s="12">
        <v>0</v>
      </c>
    </row>
    <row r="61" spans="1:16" x14ac:dyDescent="0.25">
      <c r="A61" s="80" t="s">
        <v>262</v>
      </c>
      <c r="B61" s="80" t="s">
        <v>263</v>
      </c>
      <c r="C61" s="79">
        <v>0.46500000000000002</v>
      </c>
      <c r="D61" s="79">
        <v>4.7510000000000003</v>
      </c>
      <c r="E61" s="79">
        <v>1.018</v>
      </c>
      <c r="F61" s="79">
        <v>1.292</v>
      </c>
      <c r="G61" s="79">
        <v>1.2549999999999999</v>
      </c>
      <c r="H61" s="79">
        <v>7.806</v>
      </c>
      <c r="I61" s="79">
        <v>10.364000000000001</v>
      </c>
      <c r="J61" s="79">
        <v>11.39</v>
      </c>
      <c r="K61" s="79">
        <v>10.971</v>
      </c>
      <c r="L61" s="79">
        <v>30.603000000000002</v>
      </c>
      <c r="M61" s="58" t="s">
        <v>444</v>
      </c>
      <c r="N61" s="24"/>
      <c r="O61" s="24"/>
      <c r="P61" s="24"/>
    </row>
    <row r="62" spans="1:16" x14ac:dyDescent="0.25">
      <c r="A62" s="6" t="s">
        <v>264</v>
      </c>
      <c r="B62" s="6" t="s">
        <v>265</v>
      </c>
      <c r="C62" s="15">
        <v>3.891</v>
      </c>
      <c r="D62" s="15">
        <v>7.45</v>
      </c>
      <c r="E62" s="15">
        <v>7.3970000000000002</v>
      </c>
      <c r="F62" s="15">
        <v>7.79</v>
      </c>
      <c r="G62" s="15">
        <v>7.1429999999999998</v>
      </c>
      <c r="H62" s="15">
        <v>13.36</v>
      </c>
      <c r="I62" s="15">
        <v>18.04</v>
      </c>
      <c r="J62" s="15">
        <v>19.422999999999998</v>
      </c>
      <c r="K62" s="15">
        <v>18.917000000000002</v>
      </c>
      <c r="L62" s="15">
        <v>71.852000000000004</v>
      </c>
    </row>
    <row r="63" spans="1:16" x14ac:dyDescent="0.25">
      <c r="A63" s="6" t="s">
        <v>266</v>
      </c>
      <c r="B63" s="6" t="s">
        <v>45</v>
      </c>
      <c r="C63" s="15">
        <v>10.956</v>
      </c>
      <c r="D63" s="15">
        <v>11.41</v>
      </c>
      <c r="E63" s="15">
        <v>9.8559999999999999</v>
      </c>
      <c r="F63" s="15">
        <v>10.446</v>
      </c>
      <c r="G63" s="15">
        <v>11.308999999999999</v>
      </c>
      <c r="H63" s="15">
        <v>20.324000000000002</v>
      </c>
      <c r="I63" s="15">
        <v>28.427</v>
      </c>
      <c r="J63" s="15">
        <v>39.987000000000002</v>
      </c>
      <c r="K63" s="15">
        <v>35.637</v>
      </c>
      <c r="L63" s="15">
        <v>89.844999999999999</v>
      </c>
    </row>
    <row r="64" spans="1:16" x14ac:dyDescent="0.25">
      <c r="A64" s="10" t="s">
        <v>267</v>
      </c>
      <c r="B64" s="10" t="s">
        <v>53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</row>
    <row r="65" spans="1:18" x14ac:dyDescent="0.25">
      <c r="A65" s="10" t="s">
        <v>268</v>
      </c>
      <c r="B65" s="10" t="s">
        <v>269</v>
      </c>
      <c r="C65" s="12">
        <v>63.085000000000001</v>
      </c>
      <c r="D65" s="12">
        <v>63.085000000000001</v>
      </c>
      <c r="E65" s="12">
        <v>33.085000000000001</v>
      </c>
      <c r="F65" s="12">
        <v>33.085000000000001</v>
      </c>
      <c r="G65" s="12">
        <v>33.085000000000001</v>
      </c>
      <c r="H65" s="12">
        <v>33.085000000000001</v>
      </c>
      <c r="I65" s="12">
        <v>33.085000000000001</v>
      </c>
      <c r="J65" s="12">
        <v>33.085000000000001</v>
      </c>
      <c r="K65" s="12">
        <v>33.085000000000001</v>
      </c>
      <c r="L65" s="12">
        <v>33.085000000000001</v>
      </c>
    </row>
    <row r="66" spans="1:18" x14ac:dyDescent="0.25">
      <c r="A66" s="10" t="s">
        <v>270</v>
      </c>
      <c r="B66" s="10" t="s">
        <v>271</v>
      </c>
      <c r="C66" s="12" t="s">
        <v>23</v>
      </c>
      <c r="D66" s="12" t="s">
        <v>23</v>
      </c>
      <c r="E66" s="12">
        <v>33.085000000000001</v>
      </c>
      <c r="F66" s="12">
        <v>33.085000000000001</v>
      </c>
      <c r="G66" s="12">
        <v>33.085000000000001</v>
      </c>
      <c r="H66" s="12">
        <v>33.085000000000001</v>
      </c>
      <c r="I66" s="12">
        <v>33.085000000000001</v>
      </c>
      <c r="J66" s="12">
        <v>33.085000000000001</v>
      </c>
      <c r="K66" s="12">
        <v>33.085000000000001</v>
      </c>
      <c r="L66" s="12">
        <v>33.085000000000001</v>
      </c>
    </row>
    <row r="67" spans="1:18" x14ac:dyDescent="0.25">
      <c r="A67" s="10" t="s">
        <v>272</v>
      </c>
      <c r="B67" s="10" t="s">
        <v>273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8" x14ac:dyDescent="0.25">
      <c r="A68" s="10" t="s">
        <v>274</v>
      </c>
      <c r="B68" s="10" t="s">
        <v>275</v>
      </c>
      <c r="C68" s="12">
        <v>15.333</v>
      </c>
      <c r="D68" s="12">
        <v>13.121</v>
      </c>
      <c r="E68" s="12">
        <v>7.0469999999999997</v>
      </c>
      <c r="F68" s="12">
        <v>0</v>
      </c>
      <c r="G68" s="12">
        <v>25.209</v>
      </c>
      <c r="H68" s="12">
        <v>14.352</v>
      </c>
      <c r="I68" s="12">
        <v>21.52</v>
      </c>
      <c r="J68" s="12">
        <v>34.734000000000002</v>
      </c>
      <c r="K68" s="12">
        <v>28.151</v>
      </c>
      <c r="L68" s="12">
        <v>27.143000000000001</v>
      </c>
    </row>
    <row r="69" spans="1:18" x14ac:dyDescent="0.25">
      <c r="A69" s="80" t="s">
        <v>276</v>
      </c>
      <c r="B69" s="80" t="s">
        <v>277</v>
      </c>
      <c r="C69" s="79">
        <v>0</v>
      </c>
      <c r="D69" s="79">
        <v>0</v>
      </c>
      <c r="E69" s="79">
        <v>4.8029999999999999</v>
      </c>
      <c r="F69" s="79">
        <v>162.66900000000001</v>
      </c>
      <c r="G69" s="79">
        <v>156.05199999999999</v>
      </c>
      <c r="H69" s="79">
        <v>140.02199999999999</v>
      </c>
      <c r="I69" s="79">
        <v>192.91300000000001</v>
      </c>
      <c r="J69" s="79">
        <v>192.91300000000001</v>
      </c>
      <c r="K69" s="79">
        <v>192.91300000000001</v>
      </c>
      <c r="L69" s="79">
        <v>192.684</v>
      </c>
      <c r="M69" s="58" t="s">
        <v>444</v>
      </c>
      <c r="N69" s="24"/>
      <c r="O69" s="24"/>
      <c r="P69" s="24"/>
      <c r="Q69" s="24"/>
      <c r="R69" s="24"/>
    </row>
    <row r="70" spans="1:18" x14ac:dyDescent="0.25">
      <c r="A70" s="6" t="s">
        <v>278</v>
      </c>
      <c r="B70" s="6" t="s">
        <v>279</v>
      </c>
      <c r="C70" s="15">
        <v>78.418000000000006</v>
      </c>
      <c r="D70" s="15">
        <v>76.206000000000003</v>
      </c>
      <c r="E70" s="15">
        <v>44.935000000000002</v>
      </c>
      <c r="F70" s="15">
        <v>195.75399999999999</v>
      </c>
      <c r="G70" s="15">
        <v>214.346</v>
      </c>
      <c r="H70" s="15">
        <v>187.459</v>
      </c>
      <c r="I70" s="15">
        <v>247.518</v>
      </c>
      <c r="J70" s="15">
        <v>260.73200000000003</v>
      </c>
      <c r="K70" s="15">
        <v>254.149</v>
      </c>
      <c r="L70" s="15">
        <v>252.91200000000001</v>
      </c>
    </row>
    <row r="71" spans="1:18" x14ac:dyDescent="0.25">
      <c r="A71" s="10" t="s">
        <v>280</v>
      </c>
      <c r="B71" s="10" t="s">
        <v>54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</row>
    <row r="72" spans="1:18" x14ac:dyDescent="0.25">
      <c r="A72" s="89" t="s">
        <v>281</v>
      </c>
      <c r="B72" s="6" t="s">
        <v>46</v>
      </c>
      <c r="C72" s="22">
        <v>78.418000000000006</v>
      </c>
      <c r="D72" s="22">
        <v>76.206000000000003</v>
      </c>
      <c r="E72" s="22">
        <v>44.935000000000002</v>
      </c>
      <c r="F72" s="22">
        <v>195.75399999999999</v>
      </c>
      <c r="G72" s="22">
        <v>214.346</v>
      </c>
      <c r="H72" s="22">
        <v>187.459</v>
      </c>
      <c r="I72" s="22">
        <v>247.518</v>
      </c>
      <c r="J72" s="22">
        <v>260.73200000000003</v>
      </c>
      <c r="K72" s="22">
        <v>254.149</v>
      </c>
      <c r="L72" s="22">
        <v>252.91200000000001</v>
      </c>
      <c r="M72" s="58" t="s">
        <v>454</v>
      </c>
      <c r="N72" s="58"/>
    </row>
    <row r="73" spans="1:18" x14ac:dyDescent="0.25">
      <c r="A73" s="6" t="s">
        <v>282</v>
      </c>
      <c r="B73" s="6" t="s">
        <v>283</v>
      </c>
      <c r="C73" s="15">
        <v>89.373999999999995</v>
      </c>
      <c r="D73" s="15">
        <v>87.616</v>
      </c>
      <c r="E73" s="15">
        <v>54.790999999999997</v>
      </c>
      <c r="F73" s="15">
        <v>206.2</v>
      </c>
      <c r="G73" s="15">
        <v>225.655</v>
      </c>
      <c r="H73" s="15">
        <v>207.78299999999999</v>
      </c>
      <c r="I73" s="15">
        <v>275.94499999999999</v>
      </c>
      <c r="J73" s="15">
        <v>300.71899999999999</v>
      </c>
      <c r="K73" s="15">
        <v>289.786</v>
      </c>
      <c r="L73" s="15">
        <v>342.75700000000001</v>
      </c>
    </row>
    <row r="74" spans="1:18" x14ac:dyDescent="0.25">
      <c r="A74" s="6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spans="1:18" x14ac:dyDescent="0.25">
      <c r="A75" s="6" t="s">
        <v>55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spans="1:18" x14ac:dyDescent="0.25">
      <c r="A76" s="6" t="s">
        <v>144</v>
      </c>
      <c r="B76" s="6" t="s">
        <v>145</v>
      </c>
      <c r="C76" s="14" t="s">
        <v>146</v>
      </c>
      <c r="D76" s="14" t="s">
        <v>146</v>
      </c>
      <c r="E76" s="14" t="s">
        <v>146</v>
      </c>
      <c r="F76" s="14" t="s">
        <v>146</v>
      </c>
      <c r="G76" s="14" t="s">
        <v>146</v>
      </c>
      <c r="H76" s="14" t="s">
        <v>146</v>
      </c>
      <c r="I76" s="14" t="s">
        <v>146</v>
      </c>
      <c r="J76" s="14" t="s">
        <v>146</v>
      </c>
      <c r="K76" s="14" t="s">
        <v>146</v>
      </c>
      <c r="L76" s="14" t="s">
        <v>146</v>
      </c>
    </row>
    <row r="77" spans="1:18" x14ac:dyDescent="0.25">
      <c r="A77" s="89" t="s">
        <v>284</v>
      </c>
      <c r="B77" s="89" t="s">
        <v>47</v>
      </c>
      <c r="C77" s="22">
        <v>63.085000000000001</v>
      </c>
      <c r="D77" s="22">
        <v>63.085000000000001</v>
      </c>
      <c r="E77" s="22">
        <v>63.085000000000001</v>
      </c>
      <c r="F77" s="22">
        <v>63.085000000000001</v>
      </c>
      <c r="G77" s="22">
        <v>63.085000000000001</v>
      </c>
      <c r="H77" s="22">
        <v>63.085000000000001</v>
      </c>
      <c r="I77" s="22">
        <v>63.085000000000001</v>
      </c>
      <c r="J77" s="22">
        <v>63.085000000000001</v>
      </c>
      <c r="K77" s="22">
        <v>63.085000000000001</v>
      </c>
      <c r="L77" s="22">
        <v>63.085000000000001</v>
      </c>
    </row>
    <row r="78" spans="1:18" x14ac:dyDescent="0.25">
      <c r="A78" s="6" t="s">
        <v>285</v>
      </c>
      <c r="B78" s="6" t="s">
        <v>286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</row>
    <row r="79" spans="1:18" x14ac:dyDescent="0.25">
      <c r="A79" s="6" t="s">
        <v>287</v>
      </c>
      <c r="B79" s="6" t="s">
        <v>288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</row>
    <row r="80" spans="1:18" x14ac:dyDescent="0.25">
      <c r="A80" s="6" t="s">
        <v>289</v>
      </c>
      <c r="B80" s="6" t="s">
        <v>290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</row>
    <row r="81" spans="1:12" x14ac:dyDescent="0.25">
      <c r="A81" s="6" t="s">
        <v>291</v>
      </c>
      <c r="B81" s="6" t="s">
        <v>292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</row>
    <row r="82" spans="1:12" x14ac:dyDescent="0.25">
      <c r="A82" s="6" t="s">
        <v>293</v>
      </c>
      <c r="B82" s="6" t="s">
        <v>294</v>
      </c>
      <c r="C82" s="15" t="s">
        <v>23</v>
      </c>
      <c r="D82" s="15" t="s">
        <v>23</v>
      </c>
      <c r="E82" s="15" t="s">
        <v>23</v>
      </c>
      <c r="F82" s="15" t="s">
        <v>23</v>
      </c>
      <c r="G82" s="15" t="s">
        <v>23</v>
      </c>
      <c r="H82" s="15" t="s">
        <v>23</v>
      </c>
      <c r="I82" s="15" t="s">
        <v>23</v>
      </c>
      <c r="J82" s="15" t="s">
        <v>23</v>
      </c>
      <c r="K82" s="15" t="s">
        <v>23</v>
      </c>
      <c r="L82" s="15" t="s">
        <v>23</v>
      </c>
    </row>
    <row r="83" spans="1:12" x14ac:dyDescent="0.25">
      <c r="A83" s="6" t="s">
        <v>295</v>
      </c>
      <c r="B83" s="6" t="s">
        <v>296</v>
      </c>
      <c r="C83" s="15" t="s">
        <v>23</v>
      </c>
      <c r="D83" s="15" t="s">
        <v>23</v>
      </c>
      <c r="E83" s="15" t="s">
        <v>23</v>
      </c>
      <c r="F83" s="15" t="s">
        <v>23</v>
      </c>
      <c r="G83" s="15" t="s">
        <v>23</v>
      </c>
      <c r="H83" s="15" t="s">
        <v>23</v>
      </c>
      <c r="I83" s="15" t="s">
        <v>23</v>
      </c>
      <c r="J83" s="15" t="s">
        <v>23</v>
      </c>
      <c r="K83" s="15" t="s">
        <v>23</v>
      </c>
      <c r="L83" s="15" t="s">
        <v>23</v>
      </c>
    </row>
    <row r="84" spans="1:12" x14ac:dyDescent="0.25">
      <c r="A84" s="6" t="s">
        <v>297</v>
      </c>
      <c r="B84" s="6" t="s">
        <v>298</v>
      </c>
      <c r="C84" s="15">
        <v>-38.465000000000003</v>
      </c>
      <c r="D84" s="15">
        <v>-37.564</v>
      </c>
      <c r="E84" s="15">
        <v>-16.239999999999998</v>
      </c>
      <c r="F84" s="15">
        <v>-29.236000000000001</v>
      </c>
      <c r="G84" s="15">
        <v>-50.497999999999998</v>
      </c>
      <c r="H84" s="15">
        <v>-30.47</v>
      </c>
      <c r="I84" s="15">
        <v>-17.082000000000001</v>
      </c>
      <c r="J84" s="15">
        <v>-20.995000000000001</v>
      </c>
      <c r="K84" s="15">
        <v>-2.802</v>
      </c>
      <c r="L84" s="15">
        <v>23.472999999999999</v>
      </c>
    </row>
    <row r="85" spans="1:12" x14ac:dyDescent="0.25">
      <c r="A85" s="6" t="s">
        <v>299</v>
      </c>
      <c r="B85" s="6" t="s">
        <v>300</v>
      </c>
      <c r="C85" s="16">
        <v>-49.051200000000001</v>
      </c>
      <c r="D85" s="16">
        <v>-49.292700000000004</v>
      </c>
      <c r="E85" s="16">
        <v>-36.141100000000002</v>
      </c>
      <c r="F85" s="16">
        <v>-14.9351</v>
      </c>
      <c r="G85" s="16">
        <v>-23.559100000000001</v>
      </c>
      <c r="H85" s="16">
        <v>-16.254200000000001</v>
      </c>
      <c r="I85" s="16">
        <v>-6.9013</v>
      </c>
      <c r="J85" s="16">
        <v>-8.0523000000000007</v>
      </c>
      <c r="K85" s="16">
        <v>-1.1025</v>
      </c>
      <c r="L85" s="16">
        <v>9.2811000000000003</v>
      </c>
    </row>
    <row r="86" spans="1:12" x14ac:dyDescent="0.25">
      <c r="A86" s="6" t="s">
        <v>301</v>
      </c>
      <c r="B86" s="6" t="s">
        <v>302</v>
      </c>
      <c r="C86" s="16">
        <v>87.741399999999999</v>
      </c>
      <c r="D86" s="16">
        <v>86.9773</v>
      </c>
      <c r="E86" s="16">
        <v>82.011600000000001</v>
      </c>
      <c r="F86" s="16">
        <v>94.933999999999997</v>
      </c>
      <c r="G86" s="16">
        <v>94.980599999999995</v>
      </c>
      <c r="H86" s="16">
        <v>90.205299999999994</v>
      </c>
      <c r="I86" s="16">
        <v>89.668499999999995</v>
      </c>
      <c r="J86" s="16">
        <v>86.672899999999998</v>
      </c>
      <c r="K86" s="16">
        <v>87.676900000000003</v>
      </c>
      <c r="L86" s="16">
        <v>73.694800000000001</v>
      </c>
    </row>
    <row r="87" spans="1:12" x14ac:dyDescent="0.25">
      <c r="A87" s="6" t="s">
        <v>303</v>
      </c>
      <c r="B87" s="6" t="s">
        <v>304</v>
      </c>
      <c r="C87" s="16">
        <v>10.4747</v>
      </c>
      <c r="D87" s="16">
        <v>17.394200000000001</v>
      </c>
      <c r="E87" s="16">
        <v>21.5885</v>
      </c>
      <c r="F87" s="16">
        <v>19.7105</v>
      </c>
      <c r="G87" s="16">
        <v>18.0883</v>
      </c>
      <c r="H87" s="16">
        <v>7.9116999999999997</v>
      </c>
      <c r="I87" s="16">
        <v>5.8567</v>
      </c>
      <c r="J87" s="16">
        <v>3.3372999999999999</v>
      </c>
      <c r="K87" s="16">
        <v>3.2961</v>
      </c>
      <c r="L87" s="16">
        <v>3.9148999999999998</v>
      </c>
    </row>
    <row r="88" spans="1:12" x14ac:dyDescent="0.25">
      <c r="A88" s="6" t="s">
        <v>305</v>
      </c>
      <c r="B88" s="6" t="s">
        <v>306</v>
      </c>
      <c r="C88" s="16">
        <v>26.553999999999998</v>
      </c>
      <c r="D88" s="16" t="s">
        <v>23</v>
      </c>
      <c r="E88" s="16" t="s">
        <v>23</v>
      </c>
      <c r="F88" s="16" t="s">
        <v>23</v>
      </c>
      <c r="G88" s="16" t="s">
        <v>23</v>
      </c>
      <c r="H88" s="16" t="s">
        <v>23</v>
      </c>
      <c r="I88" s="16" t="s">
        <v>23</v>
      </c>
      <c r="J88" s="16" t="s">
        <v>23</v>
      </c>
      <c r="K88" s="16" t="s">
        <v>23</v>
      </c>
      <c r="L88" s="16" t="s">
        <v>23</v>
      </c>
    </row>
    <row r="89" spans="1:12" x14ac:dyDescent="0.25">
      <c r="A89" s="7" t="s">
        <v>29</v>
      </c>
      <c r="B89" s="7"/>
      <c r="C89" s="7" t="s">
        <v>30</v>
      </c>
      <c r="D89" s="7"/>
      <c r="E89" s="7"/>
      <c r="F89" s="7"/>
      <c r="G89" s="7"/>
      <c r="H89" s="7"/>
      <c r="I89" s="7"/>
      <c r="J89" s="7"/>
      <c r="K89" s="7"/>
      <c r="L89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BF1A-9653-4906-A036-C1718A3D35B3}">
  <sheetPr>
    <tabColor rgb="FFFFFF00"/>
  </sheetPr>
  <dimension ref="A1:K120"/>
  <sheetViews>
    <sheetView workbookViewId="0">
      <selection activeCell="C96" sqref="C96"/>
    </sheetView>
  </sheetViews>
  <sheetFormatPr defaultRowHeight="15" x14ac:dyDescent="0.25"/>
  <cols>
    <col min="1" max="1" width="35.140625" customWidth="1"/>
    <col min="2" max="2" width="55.5703125" bestFit="1" customWidth="1"/>
    <col min="3" max="10" width="11.85546875" customWidth="1"/>
  </cols>
  <sheetData>
    <row r="1" spans="1:10" x14ac:dyDescent="0.25">
      <c r="A1" s="99">
        <v>45930</v>
      </c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8" t="s">
        <v>462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75" thickBot="1" x14ac:dyDescent="0.3">
      <c r="A4" s="100" t="s">
        <v>463</v>
      </c>
      <c r="B4" s="100" t="s">
        <v>464</v>
      </c>
      <c r="C4" s="100" t="s">
        <v>825</v>
      </c>
      <c r="D4" s="100" t="s">
        <v>465</v>
      </c>
      <c r="E4" s="2"/>
      <c r="F4" s="2"/>
      <c r="G4" s="2"/>
      <c r="H4" s="2"/>
      <c r="I4" s="2"/>
      <c r="J4" s="2"/>
    </row>
    <row r="5" spans="1:10" ht="15.75" thickBot="1" x14ac:dyDescent="0.3">
      <c r="A5" s="101" t="s">
        <v>466</v>
      </c>
      <c r="B5" s="102" t="s">
        <v>467</v>
      </c>
      <c r="C5" s="103" t="s">
        <v>826</v>
      </c>
      <c r="D5" s="103" t="s">
        <v>827</v>
      </c>
      <c r="E5" s="2"/>
      <c r="F5" s="2"/>
      <c r="G5" s="2"/>
      <c r="H5" s="2"/>
      <c r="I5" s="2"/>
      <c r="J5" s="2"/>
    </row>
    <row r="6" spans="1:10" ht="15.75" thickBot="1" x14ac:dyDescent="0.3">
      <c r="A6" s="241" t="s">
        <v>468</v>
      </c>
      <c r="B6" s="242" t="s">
        <v>469</v>
      </c>
      <c r="C6" s="243" t="s">
        <v>828</v>
      </c>
      <c r="D6" s="243" t="s">
        <v>829</v>
      </c>
      <c r="E6" s="2"/>
      <c r="F6" s="2"/>
      <c r="G6" s="2"/>
      <c r="H6" s="2"/>
      <c r="I6" s="2"/>
      <c r="J6" s="2"/>
    </row>
    <row r="7" spans="1:10" ht="15.75" thickBot="1" x14ac:dyDescent="0.3">
      <c r="A7" s="101" t="s">
        <v>470</v>
      </c>
      <c r="B7" s="102" t="s">
        <v>471</v>
      </c>
      <c r="C7" s="103" t="s">
        <v>830</v>
      </c>
      <c r="D7" s="103" t="s">
        <v>472</v>
      </c>
      <c r="E7" s="2"/>
      <c r="F7" s="2"/>
      <c r="G7" s="2"/>
      <c r="H7" s="2"/>
      <c r="I7" s="2"/>
      <c r="J7" s="2"/>
    </row>
    <row r="8" spans="1:10" ht="15.75" thickBot="1" x14ac:dyDescent="0.3">
      <c r="A8" s="101" t="s">
        <v>473</v>
      </c>
      <c r="B8" s="102" t="s">
        <v>474</v>
      </c>
      <c r="C8" s="103" t="s">
        <v>830</v>
      </c>
      <c r="D8" s="103" t="s">
        <v>472</v>
      </c>
      <c r="E8" s="2"/>
      <c r="F8" s="2"/>
      <c r="G8" s="2"/>
      <c r="H8" s="2"/>
      <c r="I8" s="2"/>
      <c r="J8" s="2"/>
    </row>
    <row r="9" spans="1:10" ht="15.75" thickBot="1" x14ac:dyDescent="0.3">
      <c r="A9" s="101" t="s">
        <v>475</v>
      </c>
      <c r="B9" s="102" t="s">
        <v>476</v>
      </c>
      <c r="C9" s="103" t="s">
        <v>830</v>
      </c>
      <c r="D9" s="103" t="s">
        <v>472</v>
      </c>
      <c r="E9" s="2"/>
      <c r="F9" s="2"/>
      <c r="G9" s="2"/>
      <c r="H9" s="2"/>
      <c r="I9" s="2"/>
      <c r="J9" s="2"/>
    </row>
    <row r="10" spans="1:10" ht="15.75" thickBot="1" x14ac:dyDescent="0.3">
      <c r="A10" s="101" t="s">
        <v>477</v>
      </c>
      <c r="B10" s="102" t="s">
        <v>478</v>
      </c>
      <c r="C10" s="103"/>
      <c r="D10" s="103"/>
      <c r="E10" s="2"/>
      <c r="F10" s="2"/>
      <c r="G10" s="2"/>
      <c r="H10" s="2"/>
      <c r="I10" s="2"/>
      <c r="J10" s="2"/>
    </row>
    <row r="11" spans="1:10" ht="15.75" thickBot="1" x14ac:dyDescent="0.3">
      <c r="A11" s="101" t="s">
        <v>479</v>
      </c>
      <c r="B11" s="102" t="s">
        <v>480</v>
      </c>
      <c r="C11" s="103" t="s">
        <v>831</v>
      </c>
      <c r="D11" s="103" t="s">
        <v>832</v>
      </c>
      <c r="E11" s="2"/>
      <c r="F11" s="2"/>
      <c r="G11" s="2"/>
      <c r="H11" s="2"/>
      <c r="I11" s="2"/>
      <c r="J11" s="2"/>
    </row>
    <row r="12" spans="1:10" ht="15.75" thickBot="1" x14ac:dyDescent="0.3">
      <c r="A12" s="101" t="s">
        <v>481</v>
      </c>
      <c r="B12" s="102" t="s">
        <v>482</v>
      </c>
      <c r="C12" s="103" t="s">
        <v>831</v>
      </c>
      <c r="D12" s="103" t="s">
        <v>832</v>
      </c>
      <c r="E12" s="2"/>
      <c r="F12" s="2"/>
      <c r="G12" s="2"/>
      <c r="H12" s="2"/>
      <c r="I12" s="2"/>
      <c r="J12" s="2"/>
    </row>
    <row r="13" spans="1:10" ht="15.75" thickBot="1" x14ac:dyDescent="0.3">
      <c r="A13" s="101" t="s">
        <v>483</v>
      </c>
      <c r="B13" s="102" t="s">
        <v>484</v>
      </c>
      <c r="C13" s="103"/>
      <c r="D13" s="103"/>
      <c r="E13" s="2"/>
      <c r="F13" s="2"/>
      <c r="G13" s="2"/>
      <c r="H13" s="2"/>
      <c r="I13" s="2"/>
      <c r="J13" s="2"/>
    </row>
    <row r="14" spans="1:10" ht="15.75" thickBot="1" x14ac:dyDescent="0.3">
      <c r="A14" s="101" t="s">
        <v>485</v>
      </c>
      <c r="B14" s="102" t="s">
        <v>486</v>
      </c>
      <c r="C14" s="103" t="s">
        <v>833</v>
      </c>
      <c r="D14" s="103" t="s">
        <v>487</v>
      </c>
      <c r="E14" s="2"/>
      <c r="F14" s="2"/>
      <c r="G14" s="2"/>
      <c r="H14" s="2"/>
      <c r="I14" s="2"/>
      <c r="J14" s="2"/>
    </row>
    <row r="15" spans="1:10" ht="15.75" thickBot="1" x14ac:dyDescent="0.3">
      <c r="A15" s="101" t="s">
        <v>488</v>
      </c>
      <c r="B15" s="102" t="s">
        <v>489</v>
      </c>
      <c r="C15" s="103" t="s">
        <v>834</v>
      </c>
      <c r="D15" s="103" t="s">
        <v>490</v>
      </c>
      <c r="E15" s="2"/>
      <c r="F15" s="2"/>
      <c r="G15" s="2"/>
      <c r="H15" s="2"/>
      <c r="I15" s="2"/>
      <c r="J15" s="2"/>
    </row>
    <row r="16" spans="1:10" ht="15.75" thickBot="1" x14ac:dyDescent="0.3">
      <c r="A16" s="101" t="s">
        <v>491</v>
      </c>
      <c r="B16" s="102" t="s">
        <v>492</v>
      </c>
      <c r="C16" s="103" t="s">
        <v>835</v>
      </c>
      <c r="D16" s="103" t="s">
        <v>493</v>
      </c>
      <c r="E16" s="2"/>
      <c r="F16" s="2"/>
      <c r="G16" s="2"/>
      <c r="H16" s="2"/>
      <c r="I16" s="2"/>
      <c r="J16" s="2"/>
    </row>
    <row r="17" spans="1:10" ht="15.75" thickBot="1" x14ac:dyDescent="0.3">
      <c r="A17" s="101" t="s">
        <v>494</v>
      </c>
      <c r="B17" s="102" t="s">
        <v>495</v>
      </c>
      <c r="C17" s="103" t="s">
        <v>836</v>
      </c>
      <c r="D17" s="103" t="s">
        <v>496</v>
      </c>
      <c r="E17" s="2"/>
      <c r="F17" s="2"/>
      <c r="G17" s="2"/>
      <c r="H17" s="2"/>
      <c r="I17" s="2"/>
      <c r="J17" s="2"/>
    </row>
    <row r="18" spans="1:10" ht="15.75" thickBot="1" x14ac:dyDescent="0.3">
      <c r="A18" s="101" t="s">
        <v>497</v>
      </c>
      <c r="B18" s="102" t="s">
        <v>498</v>
      </c>
      <c r="C18" s="103" t="s">
        <v>837</v>
      </c>
      <c r="D18" s="103" t="s">
        <v>499</v>
      </c>
      <c r="E18" s="2"/>
      <c r="F18" s="2"/>
      <c r="G18" s="2"/>
      <c r="H18" s="2"/>
      <c r="I18" s="2"/>
      <c r="J18" s="2"/>
    </row>
    <row r="19" spans="1:10" ht="15.75" thickBot="1" x14ac:dyDescent="0.3">
      <c r="A19" s="101" t="s">
        <v>500</v>
      </c>
      <c r="B19" s="102" t="s">
        <v>501</v>
      </c>
      <c r="C19" s="103" t="s">
        <v>838</v>
      </c>
      <c r="D19" s="103" t="s">
        <v>502</v>
      </c>
      <c r="E19" s="2"/>
      <c r="F19" s="2"/>
      <c r="G19" s="2"/>
      <c r="H19" s="2"/>
      <c r="I19" s="2"/>
      <c r="J19" s="2"/>
    </row>
    <row r="20" spans="1:10" ht="15.75" thickBot="1" x14ac:dyDescent="0.3">
      <c r="A20" s="101" t="s">
        <v>503</v>
      </c>
      <c r="B20" s="102" t="s">
        <v>504</v>
      </c>
      <c r="C20" s="103" t="s">
        <v>839</v>
      </c>
      <c r="D20" s="103" t="s">
        <v>505</v>
      </c>
      <c r="E20" s="2"/>
      <c r="F20" s="2"/>
      <c r="G20" s="2"/>
      <c r="H20" s="2"/>
      <c r="I20" s="2"/>
      <c r="J20" s="2"/>
    </row>
    <row r="21" spans="1:10" ht="15.75" thickBot="1" x14ac:dyDescent="0.3">
      <c r="A21" s="101" t="s">
        <v>506</v>
      </c>
      <c r="B21" s="102" t="s">
        <v>507</v>
      </c>
      <c r="C21" s="103" t="s">
        <v>840</v>
      </c>
      <c r="D21" s="103" t="s">
        <v>505</v>
      </c>
      <c r="E21" s="2"/>
      <c r="F21" s="2"/>
      <c r="G21" s="2"/>
      <c r="H21" s="2"/>
      <c r="I21" s="2"/>
      <c r="J21" s="2"/>
    </row>
    <row r="22" spans="1:10" ht="15.75" thickBot="1" x14ac:dyDescent="0.3">
      <c r="A22" s="101" t="s">
        <v>509</v>
      </c>
      <c r="B22" s="102" t="s">
        <v>510</v>
      </c>
      <c r="C22" s="103" t="s">
        <v>841</v>
      </c>
      <c r="D22" s="103" t="s">
        <v>511</v>
      </c>
      <c r="E22" s="2"/>
      <c r="F22" s="2"/>
      <c r="G22" s="2"/>
      <c r="H22" s="2"/>
      <c r="I22" s="2"/>
      <c r="J22" s="2"/>
    </row>
    <row r="23" spans="1:10" ht="15.75" thickBot="1" x14ac:dyDescent="0.3">
      <c r="A23" s="101" t="s">
        <v>512</v>
      </c>
      <c r="B23" s="102" t="s">
        <v>513</v>
      </c>
      <c r="C23" s="103" t="s">
        <v>842</v>
      </c>
      <c r="D23" s="103" t="s">
        <v>508</v>
      </c>
      <c r="E23" s="2"/>
      <c r="F23" s="2"/>
      <c r="G23" s="2"/>
      <c r="H23" s="2"/>
      <c r="I23" s="2"/>
      <c r="J23" s="2"/>
    </row>
    <row r="24" spans="1:10" ht="15.75" thickBot="1" x14ac:dyDescent="0.3">
      <c r="A24" s="104" t="s">
        <v>514</v>
      </c>
      <c r="B24" s="105" t="s">
        <v>513</v>
      </c>
      <c r="C24" s="106" t="s">
        <v>842</v>
      </c>
      <c r="D24" s="106" t="s">
        <v>508</v>
      </c>
      <c r="E24" s="2"/>
      <c r="F24" s="2"/>
      <c r="G24" s="2"/>
      <c r="H24" s="2"/>
      <c r="I24" s="2"/>
      <c r="J24" s="2"/>
    </row>
    <row r="25" spans="1:10" ht="15.75" thickBot="1" x14ac:dyDescent="0.3">
      <c r="A25" s="101" t="s">
        <v>515</v>
      </c>
      <c r="B25" s="102" t="s">
        <v>516</v>
      </c>
      <c r="C25" s="103"/>
      <c r="D25" s="103"/>
      <c r="E25" s="2"/>
      <c r="F25" s="2"/>
      <c r="G25" s="2"/>
      <c r="H25" s="2"/>
      <c r="I25" s="2"/>
      <c r="J25" s="2"/>
    </row>
    <row r="26" spans="1:10" ht="15.75" thickBot="1" x14ac:dyDescent="0.3">
      <c r="A26" s="101" t="s">
        <v>517</v>
      </c>
      <c r="B26" s="102" t="s">
        <v>518</v>
      </c>
      <c r="C26" s="103" t="s">
        <v>842</v>
      </c>
      <c r="D26" s="103" t="s">
        <v>508</v>
      </c>
      <c r="E26" s="2"/>
      <c r="F26" s="2"/>
      <c r="G26" s="2"/>
      <c r="H26" s="2"/>
      <c r="I26" s="2"/>
      <c r="J26" s="2"/>
    </row>
    <row r="27" spans="1:10" ht="15.75" thickBot="1" x14ac:dyDescent="0.3">
      <c r="A27" s="101" t="s">
        <v>519</v>
      </c>
      <c r="B27" s="102" t="s">
        <v>520</v>
      </c>
      <c r="C27" s="103"/>
      <c r="D27" s="103"/>
      <c r="E27" s="2"/>
      <c r="F27" s="2"/>
      <c r="G27" s="2"/>
      <c r="H27" s="2"/>
      <c r="I27" s="2"/>
      <c r="J27" s="2"/>
    </row>
    <row r="28" spans="1:10" ht="15.75" thickBot="1" x14ac:dyDescent="0.3">
      <c r="A28" s="101" t="s">
        <v>521</v>
      </c>
      <c r="B28" s="102" t="s">
        <v>522</v>
      </c>
      <c r="C28" s="103"/>
      <c r="D28" s="103"/>
      <c r="E28" s="2"/>
      <c r="F28" s="2"/>
      <c r="G28" s="2"/>
      <c r="H28" s="2"/>
      <c r="I28" s="2"/>
      <c r="J28" s="2"/>
    </row>
    <row r="29" spans="1:10" ht="15.75" thickBot="1" x14ac:dyDescent="0.3">
      <c r="A29" s="101" t="s">
        <v>523</v>
      </c>
      <c r="B29" s="102" t="s">
        <v>524</v>
      </c>
      <c r="C29" s="103" t="s">
        <v>843</v>
      </c>
      <c r="D29" s="103" t="s">
        <v>844</v>
      </c>
      <c r="E29" s="2"/>
      <c r="F29" s="2"/>
      <c r="G29" s="2"/>
      <c r="H29" s="2"/>
      <c r="I29" s="2"/>
      <c r="J29" s="2"/>
    </row>
    <row r="30" spans="1:10" ht="15.75" thickBot="1" x14ac:dyDescent="0.3">
      <c r="A30" s="101" t="s">
        <v>525</v>
      </c>
      <c r="B30" s="102" t="s">
        <v>526</v>
      </c>
      <c r="C30" s="103"/>
      <c r="D30" s="103"/>
      <c r="E30" s="2"/>
      <c r="F30" s="2"/>
      <c r="G30" s="2"/>
      <c r="H30" s="2"/>
      <c r="I30" s="2"/>
      <c r="J30" s="2"/>
    </row>
    <row r="31" spans="1:10" ht="15.75" thickBot="1" x14ac:dyDescent="0.3">
      <c r="A31" s="101" t="s">
        <v>527</v>
      </c>
      <c r="B31" s="102" t="s">
        <v>528</v>
      </c>
      <c r="C31" s="103"/>
      <c r="D31" s="103"/>
      <c r="E31" s="2"/>
      <c r="F31" s="2"/>
      <c r="G31" s="2"/>
      <c r="H31" s="2"/>
      <c r="I31" s="2"/>
      <c r="J31" s="2"/>
    </row>
    <row r="32" spans="1:10" ht="15.75" thickBot="1" x14ac:dyDescent="0.3">
      <c r="A32" s="101" t="s">
        <v>529</v>
      </c>
      <c r="B32" s="102" t="s">
        <v>530</v>
      </c>
      <c r="C32" s="103"/>
      <c r="D32" s="103"/>
      <c r="E32" s="2"/>
      <c r="F32" s="2"/>
      <c r="G32" s="2"/>
      <c r="H32" s="2"/>
      <c r="I32" s="2"/>
      <c r="J32" s="2"/>
    </row>
    <row r="33" spans="1:10" ht="15.75" thickBot="1" x14ac:dyDescent="0.3">
      <c r="A33" s="101" t="s">
        <v>531</v>
      </c>
      <c r="B33" s="102" t="s">
        <v>532</v>
      </c>
      <c r="C33" s="103"/>
      <c r="D33" s="103"/>
      <c r="E33" s="2"/>
      <c r="F33" s="2"/>
      <c r="G33" s="2"/>
      <c r="H33" s="2"/>
      <c r="I33" s="2"/>
      <c r="J33" s="2"/>
    </row>
    <row r="34" spans="1:10" ht="15.75" thickBot="1" x14ac:dyDescent="0.3">
      <c r="A34" s="101" t="s">
        <v>533</v>
      </c>
      <c r="B34" s="102" t="s">
        <v>534</v>
      </c>
      <c r="C34" s="103"/>
      <c r="D34" s="103"/>
      <c r="E34" s="2"/>
      <c r="F34" s="2"/>
      <c r="G34" s="2"/>
      <c r="H34" s="2"/>
      <c r="I34" s="2"/>
      <c r="J34" s="2"/>
    </row>
    <row r="35" spans="1:10" ht="15.75" thickBot="1" x14ac:dyDescent="0.3">
      <c r="A35" s="101" t="s">
        <v>535</v>
      </c>
      <c r="B35" s="102" t="s">
        <v>504</v>
      </c>
      <c r="C35" s="103" t="s">
        <v>843</v>
      </c>
      <c r="D35" s="103" t="s">
        <v>844</v>
      </c>
      <c r="E35" s="2"/>
      <c r="F35" s="2"/>
      <c r="G35" s="2"/>
      <c r="H35" s="2"/>
      <c r="I35" s="2"/>
      <c r="J35" s="2"/>
    </row>
    <row r="36" spans="1:10" ht="15.75" thickBot="1" x14ac:dyDescent="0.3">
      <c r="A36" s="101" t="s">
        <v>536</v>
      </c>
      <c r="B36" s="102" t="s">
        <v>537</v>
      </c>
      <c r="C36" s="103"/>
      <c r="D36" s="103"/>
      <c r="E36" s="2"/>
      <c r="F36" s="2"/>
      <c r="G36" s="2"/>
      <c r="H36" s="2"/>
      <c r="I36" s="2"/>
      <c r="J36" s="2"/>
    </row>
    <row r="37" spans="1:10" ht="15.75" thickBot="1" x14ac:dyDescent="0.3">
      <c r="A37" s="101" t="s">
        <v>538</v>
      </c>
      <c r="B37" s="102" t="s">
        <v>539</v>
      </c>
      <c r="C37" s="103"/>
      <c r="D37" s="103"/>
      <c r="E37" s="2"/>
      <c r="F37" s="2"/>
      <c r="G37" s="2"/>
      <c r="H37" s="2"/>
      <c r="I37" s="2"/>
      <c r="J37" s="2"/>
    </row>
    <row r="38" spans="1:10" ht="15.75" thickBot="1" x14ac:dyDescent="0.3">
      <c r="A38" s="101" t="s">
        <v>540</v>
      </c>
      <c r="B38" s="102" t="s">
        <v>541</v>
      </c>
      <c r="C38" s="103"/>
      <c r="D38" s="103"/>
      <c r="E38" s="2"/>
      <c r="F38" s="2"/>
      <c r="G38" s="2"/>
      <c r="H38" s="2"/>
      <c r="I38" s="2"/>
      <c r="J38" s="2"/>
    </row>
    <row r="39" spans="1:10" ht="15.75" thickBot="1" x14ac:dyDescent="0.3">
      <c r="A39" s="101" t="s">
        <v>542</v>
      </c>
      <c r="B39" s="102" t="s">
        <v>543</v>
      </c>
      <c r="C39" s="103" t="s">
        <v>845</v>
      </c>
      <c r="D39" s="103" t="s">
        <v>544</v>
      </c>
      <c r="E39" s="2"/>
      <c r="F39" s="2"/>
      <c r="G39" s="2"/>
      <c r="H39" s="2"/>
      <c r="I39" s="2"/>
      <c r="J39" s="2"/>
    </row>
    <row r="40" spans="1:10" ht="15.75" thickBot="1" x14ac:dyDescent="0.3">
      <c r="A40" s="101" t="s">
        <v>545</v>
      </c>
      <c r="B40" s="102" t="s">
        <v>546</v>
      </c>
      <c r="C40" s="103" t="s">
        <v>846</v>
      </c>
      <c r="D40" s="103" t="s">
        <v>847</v>
      </c>
      <c r="E40" s="2"/>
      <c r="F40" s="2"/>
      <c r="G40" s="2"/>
      <c r="H40" s="2"/>
      <c r="I40" s="2"/>
      <c r="J40" s="2"/>
    </row>
    <row r="41" spans="1:10" ht="15.75" thickBot="1" x14ac:dyDescent="0.3">
      <c r="A41" s="101" t="s">
        <v>547</v>
      </c>
      <c r="B41" s="102" t="s">
        <v>548</v>
      </c>
      <c r="C41" s="103" t="s">
        <v>848</v>
      </c>
      <c r="D41" s="103" t="s">
        <v>849</v>
      </c>
      <c r="E41" s="2"/>
      <c r="F41" s="2"/>
      <c r="G41" s="2"/>
      <c r="H41" s="2"/>
      <c r="I41" s="2"/>
      <c r="J41" s="2"/>
    </row>
    <row r="42" spans="1:10" ht="15.75" thickBot="1" x14ac:dyDescent="0.3">
      <c r="A42" s="101" t="s">
        <v>549</v>
      </c>
      <c r="B42" s="102" t="s">
        <v>550</v>
      </c>
      <c r="C42" s="103" t="s">
        <v>850</v>
      </c>
      <c r="D42" s="103" t="s">
        <v>508</v>
      </c>
      <c r="E42" s="2"/>
      <c r="F42" s="2"/>
      <c r="G42" s="2"/>
      <c r="H42" s="2"/>
      <c r="I42" s="2"/>
      <c r="J42" s="2"/>
    </row>
    <row r="43" spans="1:10" ht="15.75" thickBot="1" x14ac:dyDescent="0.3">
      <c r="A43" s="101" t="s">
        <v>551</v>
      </c>
      <c r="B43" s="102" t="s">
        <v>552</v>
      </c>
      <c r="C43" s="103"/>
      <c r="D43" s="103"/>
      <c r="E43" s="2"/>
      <c r="F43" s="2"/>
      <c r="G43" s="2"/>
      <c r="H43" s="2"/>
      <c r="I43" s="2"/>
      <c r="J43" s="2"/>
    </row>
    <row r="44" spans="1:10" ht="15.75" thickBot="1" x14ac:dyDescent="0.3">
      <c r="A44" s="101" t="s">
        <v>553</v>
      </c>
      <c r="B44" s="102" t="s">
        <v>554</v>
      </c>
      <c r="C44" s="103"/>
      <c r="D44" s="103"/>
      <c r="E44" s="2"/>
      <c r="F44" s="2"/>
      <c r="G44" s="2"/>
      <c r="H44" s="2"/>
      <c r="I44" s="2"/>
      <c r="J44" s="2"/>
    </row>
    <row r="45" spans="1:10" ht="15.75" thickBot="1" x14ac:dyDescent="0.3">
      <c r="A45" s="101" t="s">
        <v>555</v>
      </c>
      <c r="B45" s="102" t="s">
        <v>556</v>
      </c>
      <c r="C45" s="103"/>
      <c r="D45" s="103"/>
      <c r="E45" s="2"/>
      <c r="F45" s="2"/>
      <c r="G45" s="2"/>
      <c r="H45" s="2"/>
      <c r="I45" s="2"/>
      <c r="J45" s="2"/>
    </row>
    <row r="46" spans="1:10" ht="15.75" thickBot="1" x14ac:dyDescent="0.3">
      <c r="A46" s="101" t="s">
        <v>557</v>
      </c>
      <c r="B46" s="102" t="s">
        <v>558</v>
      </c>
      <c r="C46" s="103"/>
      <c r="D46" s="103"/>
      <c r="E46" s="2"/>
      <c r="F46" s="2"/>
      <c r="G46" s="2"/>
      <c r="H46" s="2"/>
      <c r="I46" s="2"/>
      <c r="J46" s="2"/>
    </row>
    <row r="47" spans="1:10" ht="15.75" thickBot="1" x14ac:dyDescent="0.3">
      <c r="A47" s="101" t="s">
        <v>559</v>
      </c>
      <c r="B47" s="102" t="s">
        <v>560</v>
      </c>
      <c r="C47" s="103"/>
      <c r="D47" s="103"/>
      <c r="E47" s="2"/>
      <c r="F47" s="2"/>
      <c r="G47" s="2"/>
      <c r="H47" s="2"/>
      <c r="I47" s="2"/>
      <c r="J47" s="2"/>
    </row>
    <row r="48" spans="1:10" ht="15.75" thickBot="1" x14ac:dyDescent="0.3">
      <c r="A48" s="101" t="s">
        <v>561</v>
      </c>
      <c r="B48" s="102" t="s">
        <v>562</v>
      </c>
      <c r="C48" s="103"/>
      <c r="D48" s="103"/>
      <c r="E48" s="2"/>
      <c r="F48" s="2"/>
      <c r="G48" s="2"/>
      <c r="H48" s="2"/>
      <c r="I48" s="2"/>
      <c r="J48" s="2"/>
    </row>
    <row r="49" spans="1:11" ht="15.75" thickBot="1" x14ac:dyDescent="0.3">
      <c r="A49" s="101" t="s">
        <v>563</v>
      </c>
      <c r="B49" s="102" t="s">
        <v>564</v>
      </c>
      <c r="C49" s="103"/>
      <c r="D49" s="103"/>
      <c r="E49" s="2"/>
      <c r="F49" s="2"/>
      <c r="G49" s="2"/>
      <c r="H49" s="2"/>
      <c r="I49" s="2"/>
      <c r="J49" s="2"/>
    </row>
    <row r="50" spans="1:11" ht="15.75" thickBot="1" x14ac:dyDescent="0.3">
      <c r="A50" s="101" t="s">
        <v>565</v>
      </c>
      <c r="B50" s="102" t="s">
        <v>566</v>
      </c>
      <c r="C50" s="103"/>
      <c r="D50" s="103"/>
      <c r="E50" s="2"/>
      <c r="F50" s="2"/>
      <c r="G50" s="2"/>
      <c r="H50" s="2"/>
      <c r="I50" s="2"/>
      <c r="J50" s="2"/>
    </row>
    <row r="51" spans="1:11" ht="15.75" thickBot="1" x14ac:dyDescent="0.3">
      <c r="A51" s="101" t="s">
        <v>567</v>
      </c>
      <c r="B51" s="102" t="s">
        <v>568</v>
      </c>
      <c r="C51" s="103"/>
      <c r="D51" s="103"/>
      <c r="E51" s="2"/>
      <c r="F51" s="2"/>
      <c r="G51" s="2"/>
      <c r="H51" s="2"/>
      <c r="I51" s="2"/>
      <c r="J51" s="2"/>
    </row>
    <row r="52" spans="1:11" ht="15.75" thickBot="1" x14ac:dyDescent="0.3">
      <c r="A52" s="101" t="s">
        <v>569</v>
      </c>
      <c r="B52" s="102" t="s">
        <v>570</v>
      </c>
      <c r="C52" s="103"/>
      <c r="D52" s="103"/>
      <c r="E52" s="2"/>
      <c r="F52" s="2"/>
      <c r="G52" s="2"/>
      <c r="H52" s="2"/>
      <c r="I52" s="2"/>
      <c r="J52" s="2"/>
    </row>
    <row r="53" spans="1:11" ht="15.75" thickBot="1" x14ac:dyDescent="0.3">
      <c r="A53" s="101" t="s">
        <v>571</v>
      </c>
      <c r="B53" s="102" t="s">
        <v>572</v>
      </c>
      <c r="C53" s="103"/>
      <c r="D53" s="103"/>
      <c r="E53" s="2"/>
      <c r="F53" s="2"/>
      <c r="G53" s="2"/>
      <c r="H53" s="2"/>
      <c r="I53" s="2"/>
      <c r="J53" s="2"/>
    </row>
    <row r="54" spans="1:11" ht="15.75" thickBot="1" x14ac:dyDescent="0.3">
      <c r="A54" s="101" t="s">
        <v>573</v>
      </c>
      <c r="B54" s="102" t="s">
        <v>574</v>
      </c>
      <c r="C54" s="103"/>
      <c r="D54" s="103"/>
      <c r="E54" s="2"/>
      <c r="F54" s="2"/>
      <c r="G54" s="2"/>
      <c r="H54" s="2"/>
      <c r="I54" s="2"/>
      <c r="J54" s="2"/>
    </row>
    <row r="55" spans="1:11" ht="15.75" thickBot="1" x14ac:dyDescent="0.3">
      <c r="A55" s="101" t="s">
        <v>575</v>
      </c>
      <c r="B55" s="102" t="s">
        <v>576</v>
      </c>
      <c r="C55" s="103"/>
      <c r="D55" s="103"/>
      <c r="E55" s="2"/>
      <c r="F55" s="2"/>
      <c r="G55" s="2"/>
      <c r="H55" s="2"/>
      <c r="I55" s="2"/>
      <c r="J55" s="2"/>
    </row>
    <row r="56" spans="1:11" ht="15.75" thickBot="1" x14ac:dyDescent="0.3">
      <c r="A56" s="241" t="s">
        <v>577</v>
      </c>
      <c r="B56" s="242" t="s">
        <v>578</v>
      </c>
      <c r="C56" s="243" t="s">
        <v>851</v>
      </c>
      <c r="D56" s="243" t="s">
        <v>852</v>
      </c>
      <c r="E56" s="2"/>
      <c r="F56" s="2"/>
      <c r="G56" s="2"/>
      <c r="H56" s="2"/>
      <c r="I56" s="2"/>
      <c r="J56" s="2"/>
    </row>
    <row r="57" spans="1:11" ht="15.75" thickBot="1" x14ac:dyDescent="0.3">
      <c r="A57" s="101" t="s">
        <v>579</v>
      </c>
      <c r="B57" s="102" t="s">
        <v>513</v>
      </c>
      <c r="C57" s="103" t="s">
        <v>853</v>
      </c>
      <c r="D57" s="103" t="s">
        <v>854</v>
      </c>
      <c r="E57" s="2"/>
      <c r="F57" s="2"/>
      <c r="G57" s="2"/>
      <c r="H57" s="2"/>
      <c r="I57" s="2"/>
      <c r="J57" s="2"/>
    </row>
    <row r="58" spans="1:11" ht="15.75" thickBot="1" x14ac:dyDescent="0.3">
      <c r="A58" s="104" t="s">
        <v>580</v>
      </c>
      <c r="B58" s="105" t="s">
        <v>513</v>
      </c>
      <c r="C58" s="106" t="s">
        <v>853</v>
      </c>
      <c r="D58" s="244" t="s">
        <v>879</v>
      </c>
      <c r="E58" s="2"/>
      <c r="F58" s="2"/>
      <c r="G58" s="2"/>
      <c r="H58" s="2"/>
      <c r="I58" s="2"/>
      <c r="J58" s="2"/>
      <c r="K58" s="247">
        <v>26.373000000000001</v>
      </c>
    </row>
    <row r="59" spans="1:11" ht="15.75" thickBot="1" x14ac:dyDescent="0.3">
      <c r="A59" s="101" t="s">
        <v>581</v>
      </c>
      <c r="B59" s="102" t="s">
        <v>516</v>
      </c>
      <c r="C59" s="103"/>
      <c r="D59" s="103"/>
      <c r="E59" s="2"/>
      <c r="F59" s="2"/>
      <c r="G59" s="2"/>
      <c r="H59" s="2"/>
      <c r="I59" s="2"/>
      <c r="J59" s="2"/>
      <c r="K59" s="247">
        <v>1.0489999999999999</v>
      </c>
    </row>
    <row r="60" spans="1:11" ht="15.75" thickBot="1" x14ac:dyDescent="0.3">
      <c r="A60" s="101" t="s">
        <v>582</v>
      </c>
      <c r="B60" s="102" t="s">
        <v>518</v>
      </c>
      <c r="C60" s="103" t="s">
        <v>853</v>
      </c>
      <c r="D60" s="103" t="s">
        <v>854</v>
      </c>
      <c r="E60" s="2"/>
      <c r="F60" s="2"/>
      <c r="G60" s="2"/>
      <c r="H60" s="2"/>
      <c r="I60" s="2"/>
      <c r="J60" s="2"/>
      <c r="K60" s="247">
        <f>K58+K59</f>
        <v>27.422000000000001</v>
      </c>
    </row>
    <row r="61" spans="1:11" ht="15.75" thickBot="1" x14ac:dyDescent="0.3">
      <c r="A61" s="101" t="s">
        <v>583</v>
      </c>
      <c r="B61" s="102" t="s">
        <v>520</v>
      </c>
      <c r="C61" s="103"/>
      <c r="D61" s="103"/>
      <c r="E61" s="2"/>
      <c r="F61" s="2"/>
      <c r="G61" s="2"/>
      <c r="H61" s="2"/>
      <c r="I61" s="2"/>
      <c r="J61" s="2"/>
    </row>
    <row r="62" spans="1:11" ht="15.75" thickBot="1" x14ac:dyDescent="0.3">
      <c r="A62" s="101" t="s">
        <v>584</v>
      </c>
      <c r="B62" s="102" t="s">
        <v>522</v>
      </c>
      <c r="C62" s="103"/>
      <c r="D62" s="103"/>
      <c r="E62" s="2"/>
      <c r="F62" s="2"/>
      <c r="G62" s="2"/>
      <c r="H62" s="2"/>
      <c r="I62" s="2"/>
      <c r="J62" s="2"/>
    </row>
    <row r="63" spans="1:11" ht="15.75" thickBot="1" x14ac:dyDescent="0.3">
      <c r="A63" s="101" t="s">
        <v>585</v>
      </c>
      <c r="B63" s="102" t="s">
        <v>524</v>
      </c>
      <c r="C63" s="103" t="s">
        <v>855</v>
      </c>
      <c r="D63" s="103" t="s">
        <v>856</v>
      </c>
      <c r="E63" s="2"/>
      <c r="F63" s="2"/>
      <c r="G63" s="2"/>
      <c r="H63" s="2"/>
      <c r="I63" s="2"/>
      <c r="J63" s="2"/>
    </row>
    <row r="64" spans="1:11" ht="15.75" thickBot="1" x14ac:dyDescent="0.3">
      <c r="A64" s="101" t="s">
        <v>586</v>
      </c>
      <c r="B64" s="102" t="s">
        <v>526</v>
      </c>
      <c r="C64" s="103"/>
      <c r="D64" s="103"/>
      <c r="E64" s="2"/>
      <c r="F64" s="2"/>
      <c r="G64" s="2"/>
      <c r="H64" s="2"/>
      <c r="I64" s="2"/>
      <c r="J64" s="2"/>
    </row>
    <row r="65" spans="1:10" ht="15.75" thickBot="1" x14ac:dyDescent="0.3">
      <c r="A65" s="101" t="s">
        <v>587</v>
      </c>
      <c r="B65" s="102" t="s">
        <v>528</v>
      </c>
      <c r="C65" s="103"/>
      <c r="D65" s="103"/>
      <c r="E65" s="2"/>
      <c r="F65" s="2"/>
      <c r="G65" s="2"/>
      <c r="H65" s="2"/>
      <c r="I65" s="2"/>
      <c r="J65" s="2"/>
    </row>
    <row r="66" spans="1:10" ht="15.75" thickBot="1" x14ac:dyDescent="0.3">
      <c r="A66" s="101" t="s">
        <v>588</v>
      </c>
      <c r="B66" s="102" t="s">
        <v>530</v>
      </c>
      <c r="C66" s="103"/>
      <c r="D66" s="103"/>
      <c r="E66" s="2"/>
      <c r="F66" s="2"/>
      <c r="G66" s="2"/>
      <c r="H66" s="2"/>
      <c r="I66" s="2"/>
      <c r="J66" s="2"/>
    </row>
    <row r="67" spans="1:10" ht="15.75" thickBot="1" x14ac:dyDescent="0.3">
      <c r="A67" s="101" t="s">
        <v>589</v>
      </c>
      <c r="B67" s="102" t="s">
        <v>532</v>
      </c>
      <c r="C67" s="103"/>
      <c r="D67" s="103"/>
      <c r="E67" s="2"/>
      <c r="F67" s="2"/>
      <c r="G67" s="2"/>
      <c r="H67" s="2"/>
      <c r="I67" s="2"/>
      <c r="J67" s="2"/>
    </row>
    <row r="68" spans="1:10" ht="15.75" thickBot="1" x14ac:dyDescent="0.3">
      <c r="A68" s="101" t="s">
        <v>590</v>
      </c>
      <c r="B68" s="102" t="s">
        <v>534</v>
      </c>
      <c r="C68" s="103"/>
      <c r="D68" s="103"/>
      <c r="E68" s="2"/>
      <c r="F68" s="2"/>
      <c r="G68" s="2"/>
      <c r="H68" s="2"/>
      <c r="I68" s="2"/>
      <c r="J68" s="2"/>
    </row>
    <row r="69" spans="1:10" ht="15.75" thickBot="1" x14ac:dyDescent="0.3">
      <c r="A69" s="101" t="s">
        <v>591</v>
      </c>
      <c r="B69" s="102" t="s">
        <v>504</v>
      </c>
      <c r="C69" s="103" t="s">
        <v>855</v>
      </c>
      <c r="D69" s="103" t="s">
        <v>856</v>
      </c>
      <c r="E69" s="2"/>
      <c r="F69" s="2"/>
      <c r="G69" s="2"/>
      <c r="H69" s="2"/>
      <c r="I69" s="2"/>
      <c r="J69" s="2"/>
    </row>
    <row r="70" spans="1:10" ht="15.75" thickBot="1" x14ac:dyDescent="0.3">
      <c r="A70" s="101" t="s">
        <v>592</v>
      </c>
      <c r="B70" s="102" t="s">
        <v>541</v>
      </c>
      <c r="C70" s="103"/>
      <c r="D70" s="103"/>
      <c r="E70" s="2"/>
      <c r="F70" s="2"/>
      <c r="G70" s="2"/>
      <c r="H70" s="2"/>
      <c r="I70" s="2"/>
      <c r="J70" s="2"/>
    </row>
    <row r="71" spans="1:10" ht="15.75" thickBot="1" x14ac:dyDescent="0.3">
      <c r="A71" s="101" t="s">
        <v>593</v>
      </c>
      <c r="B71" s="102" t="s">
        <v>594</v>
      </c>
      <c r="C71" s="103"/>
      <c r="D71" s="103"/>
      <c r="E71" s="2"/>
      <c r="F71" s="2"/>
      <c r="G71" s="2"/>
      <c r="H71" s="2"/>
      <c r="I71" s="2"/>
      <c r="J71" s="2"/>
    </row>
    <row r="72" spans="1:10" ht="15.75" thickBot="1" x14ac:dyDescent="0.3">
      <c r="A72" s="101" t="s">
        <v>595</v>
      </c>
      <c r="B72" s="102" t="s">
        <v>543</v>
      </c>
      <c r="C72" s="103" t="s">
        <v>857</v>
      </c>
      <c r="D72" s="103" t="s">
        <v>858</v>
      </c>
      <c r="E72" s="2"/>
      <c r="F72" s="2"/>
      <c r="G72" s="2"/>
      <c r="H72" s="2"/>
      <c r="I72" s="2"/>
      <c r="J72" s="2"/>
    </row>
    <row r="73" spans="1:10" ht="15.75" thickBot="1" x14ac:dyDescent="0.3">
      <c r="A73" s="101" t="s">
        <v>596</v>
      </c>
      <c r="B73" s="102" t="s">
        <v>597</v>
      </c>
      <c r="C73" s="103" t="s">
        <v>859</v>
      </c>
      <c r="D73" s="103" t="s">
        <v>598</v>
      </c>
      <c r="E73" s="2"/>
      <c r="F73" s="2"/>
      <c r="G73" s="2"/>
      <c r="H73" s="2"/>
      <c r="I73" s="2"/>
      <c r="J73" s="2"/>
    </row>
    <row r="74" spans="1:10" ht="15.75" thickBot="1" x14ac:dyDescent="0.3">
      <c r="A74" s="101" t="s">
        <v>599</v>
      </c>
      <c r="B74" s="102" t="s">
        <v>552</v>
      </c>
      <c r="C74" s="103" t="s">
        <v>860</v>
      </c>
      <c r="D74" s="103" t="s">
        <v>600</v>
      </c>
      <c r="E74" s="2"/>
      <c r="F74" s="2"/>
      <c r="G74" s="2"/>
      <c r="H74" s="2"/>
      <c r="I74" s="2"/>
      <c r="J74" s="2"/>
    </row>
    <row r="75" spans="1:10" ht="15.75" thickBot="1" x14ac:dyDescent="0.3">
      <c r="A75" s="101" t="s">
        <v>861</v>
      </c>
      <c r="B75" s="102" t="s">
        <v>862</v>
      </c>
      <c r="C75" s="103" t="s">
        <v>863</v>
      </c>
      <c r="D75" s="103" t="s">
        <v>493</v>
      </c>
      <c r="E75" s="2"/>
      <c r="F75" s="2"/>
      <c r="G75" s="2"/>
      <c r="H75" s="2"/>
      <c r="I75" s="2"/>
      <c r="J75" s="2"/>
    </row>
    <row r="76" spans="1:10" ht="15.75" thickBot="1" x14ac:dyDescent="0.3">
      <c r="A76" s="101" t="s">
        <v>601</v>
      </c>
      <c r="B76" s="102" t="s">
        <v>602</v>
      </c>
      <c r="C76" s="103" t="s">
        <v>864</v>
      </c>
      <c r="D76" s="103" t="s">
        <v>865</v>
      </c>
      <c r="E76" s="2"/>
      <c r="F76" s="2"/>
      <c r="G76" s="2"/>
      <c r="H76" s="2"/>
      <c r="I76" s="2"/>
      <c r="J76" s="2"/>
    </row>
    <row r="77" spans="1:10" ht="15.75" thickBot="1" x14ac:dyDescent="0.3">
      <c r="A77" s="101" t="s">
        <v>603</v>
      </c>
      <c r="B77" s="102" t="s">
        <v>604</v>
      </c>
      <c r="C77" s="103" t="s">
        <v>864</v>
      </c>
      <c r="D77" s="103" t="s">
        <v>865</v>
      </c>
      <c r="E77" s="2"/>
      <c r="F77" s="2"/>
      <c r="G77" s="2"/>
      <c r="H77" s="2"/>
      <c r="I77" s="2"/>
      <c r="J77" s="2"/>
    </row>
    <row r="78" spans="1:10" ht="15.75" thickBot="1" x14ac:dyDescent="0.3">
      <c r="A78" s="101" t="s">
        <v>605</v>
      </c>
      <c r="B78" s="102" t="s">
        <v>552</v>
      </c>
      <c r="C78" s="103"/>
      <c r="D78" s="103"/>
      <c r="E78" s="2"/>
      <c r="F78" s="2"/>
      <c r="G78" s="2"/>
      <c r="H78" s="2"/>
      <c r="I78" s="2"/>
      <c r="J78" s="2"/>
    </row>
    <row r="79" spans="1:10" ht="15.75" thickBot="1" x14ac:dyDescent="0.3">
      <c r="A79" s="101" t="s">
        <v>606</v>
      </c>
      <c r="B79" s="102" t="s">
        <v>554</v>
      </c>
      <c r="C79" s="103"/>
      <c r="D79" s="103"/>
      <c r="E79" s="2"/>
      <c r="F79" s="2"/>
      <c r="G79" s="2"/>
      <c r="H79" s="2"/>
      <c r="I79" s="2"/>
      <c r="J79" s="2"/>
    </row>
    <row r="80" spans="1:10" ht="15.75" thickBot="1" x14ac:dyDescent="0.3">
      <c r="A80" s="101" t="s">
        <v>607</v>
      </c>
      <c r="B80" s="102" t="s">
        <v>556</v>
      </c>
      <c r="C80" s="103"/>
      <c r="D80" s="103"/>
      <c r="E80" s="2"/>
      <c r="F80" s="2"/>
      <c r="G80" s="2"/>
      <c r="H80" s="2"/>
      <c r="I80" s="2"/>
      <c r="J80" s="2"/>
    </row>
    <row r="81" spans="1:10" ht="15.75" thickBot="1" x14ac:dyDescent="0.3">
      <c r="A81" s="101" t="s">
        <v>608</v>
      </c>
      <c r="B81" s="102" t="s">
        <v>558</v>
      </c>
      <c r="C81" s="103"/>
      <c r="D81" s="103"/>
      <c r="E81" s="2"/>
      <c r="F81" s="2"/>
      <c r="G81" s="2"/>
      <c r="H81" s="2"/>
      <c r="I81" s="2"/>
      <c r="J81" s="2"/>
    </row>
    <row r="82" spans="1:10" ht="15.75" thickBot="1" x14ac:dyDescent="0.3">
      <c r="A82" s="101" t="s">
        <v>609</v>
      </c>
      <c r="B82" s="102" t="s">
        <v>560</v>
      </c>
      <c r="C82" s="103"/>
      <c r="D82" s="103"/>
      <c r="E82" s="2"/>
      <c r="F82" s="2"/>
      <c r="G82" s="2"/>
      <c r="H82" s="2"/>
      <c r="I82" s="2"/>
      <c r="J82" s="2"/>
    </row>
    <row r="83" spans="1:10" ht="15.75" thickBot="1" x14ac:dyDescent="0.3">
      <c r="A83" s="101" t="s">
        <v>610</v>
      </c>
      <c r="B83" s="102" t="s">
        <v>562</v>
      </c>
      <c r="C83" s="103"/>
      <c r="D83" s="103"/>
      <c r="E83" s="2"/>
      <c r="F83" s="2"/>
      <c r="G83" s="2"/>
      <c r="H83" s="2"/>
      <c r="I83" s="2"/>
      <c r="J83" s="2"/>
    </row>
    <row r="84" spans="1:10" ht="15.75" thickBot="1" x14ac:dyDescent="0.3">
      <c r="A84" s="101" t="s">
        <v>611</v>
      </c>
      <c r="B84" s="102" t="s">
        <v>564</v>
      </c>
      <c r="C84" s="103"/>
      <c r="D84" s="103"/>
      <c r="E84" s="2"/>
      <c r="F84" s="2"/>
      <c r="G84" s="2"/>
      <c r="H84" s="2"/>
      <c r="I84" s="2"/>
      <c r="J84" s="2"/>
    </row>
    <row r="85" spans="1:10" ht="15.75" thickBot="1" x14ac:dyDescent="0.3">
      <c r="A85" s="101" t="s">
        <v>612</v>
      </c>
      <c r="B85" s="102" t="s">
        <v>566</v>
      </c>
      <c r="C85" s="103"/>
      <c r="D85" s="103"/>
      <c r="E85" s="2"/>
      <c r="F85" s="2"/>
      <c r="G85" s="2"/>
      <c r="H85" s="2"/>
      <c r="I85" s="2"/>
      <c r="J85" s="2"/>
    </row>
    <row r="86" spans="1:10" ht="15.75" thickBot="1" x14ac:dyDescent="0.3">
      <c r="A86" s="101" t="s">
        <v>613</v>
      </c>
      <c r="B86" s="102" t="s">
        <v>568</v>
      </c>
      <c r="C86" s="103"/>
      <c r="D86" s="103"/>
      <c r="E86" s="2"/>
      <c r="F86" s="2"/>
      <c r="G86" s="2"/>
      <c r="H86" s="2"/>
      <c r="I86" s="2"/>
      <c r="J86" s="2"/>
    </row>
    <row r="87" spans="1:10" ht="15.75" thickBot="1" x14ac:dyDescent="0.3">
      <c r="A87" s="101" t="s">
        <v>614</v>
      </c>
      <c r="B87" s="102" t="s">
        <v>570</v>
      </c>
      <c r="C87" s="103"/>
      <c r="D87" s="103"/>
      <c r="E87" s="2"/>
      <c r="F87" s="2"/>
      <c r="G87" s="2"/>
      <c r="H87" s="2"/>
      <c r="I87" s="2"/>
      <c r="J87" s="2"/>
    </row>
    <row r="88" spans="1:10" ht="15.75" thickBot="1" x14ac:dyDescent="0.3">
      <c r="A88" s="101" t="s">
        <v>615</v>
      </c>
      <c r="B88" s="102" t="s">
        <v>572</v>
      </c>
      <c r="C88" s="103"/>
      <c r="D88" s="103"/>
      <c r="E88" s="2"/>
      <c r="F88" s="2"/>
      <c r="G88" s="2"/>
      <c r="H88" s="2"/>
      <c r="I88" s="2"/>
      <c r="J88" s="2"/>
    </row>
    <row r="89" spans="1:10" ht="15.75" thickBot="1" x14ac:dyDescent="0.3">
      <c r="A89" s="101" t="s">
        <v>616</v>
      </c>
      <c r="B89" s="102" t="s">
        <v>574</v>
      </c>
      <c r="C89" s="103"/>
      <c r="D89" s="103"/>
      <c r="E89" s="2"/>
      <c r="F89" s="2"/>
      <c r="G89" s="2"/>
      <c r="H89" s="2"/>
      <c r="I89" s="2"/>
      <c r="J89" s="2"/>
    </row>
    <row r="90" spans="1:10" ht="15.75" thickBot="1" x14ac:dyDescent="0.3">
      <c r="A90" s="101" t="s">
        <v>617</v>
      </c>
      <c r="B90" s="102" t="s">
        <v>576</v>
      </c>
      <c r="C90" s="103"/>
      <c r="D90" s="103"/>
      <c r="E90" s="2"/>
      <c r="F90" s="2"/>
      <c r="G90" s="2"/>
      <c r="H90" s="2"/>
      <c r="I90" s="2"/>
      <c r="J90" s="2"/>
    </row>
    <row r="91" spans="1:10" ht="15.75" thickBot="1" x14ac:dyDescent="0.3">
      <c r="A91" s="101" t="s">
        <v>618</v>
      </c>
      <c r="B91" s="102" t="s">
        <v>619</v>
      </c>
      <c r="C91" s="103"/>
      <c r="D91" s="103"/>
      <c r="E91" s="2"/>
      <c r="F91" s="2"/>
      <c r="G91" s="2"/>
      <c r="H91" s="2"/>
      <c r="I91" s="2"/>
      <c r="J91" s="2"/>
    </row>
    <row r="92" spans="1:10" ht="15.75" thickBot="1" x14ac:dyDescent="0.3">
      <c r="A92" s="101" t="s">
        <v>620</v>
      </c>
      <c r="B92" s="102" t="s">
        <v>621</v>
      </c>
      <c r="C92" s="103"/>
      <c r="D92" s="103"/>
      <c r="E92" s="2"/>
      <c r="F92" s="2"/>
      <c r="G92" s="2"/>
      <c r="H92" s="2"/>
      <c r="I92" s="2"/>
      <c r="J92" s="2"/>
    </row>
    <row r="93" spans="1:10" ht="15.75" thickBot="1" x14ac:dyDescent="0.3">
      <c r="A93" s="101" t="s">
        <v>622</v>
      </c>
      <c r="B93" s="102" t="s">
        <v>623</v>
      </c>
      <c r="C93" s="103"/>
      <c r="D93" s="103"/>
      <c r="E93" s="2"/>
      <c r="F93" s="2"/>
      <c r="G93" s="2"/>
      <c r="H93" s="2"/>
      <c r="I93" s="2"/>
      <c r="J93" s="2"/>
    </row>
    <row r="94" spans="1:10" ht="15.75" thickBot="1" x14ac:dyDescent="0.3">
      <c r="A94" s="101" t="s">
        <v>624</v>
      </c>
      <c r="B94" s="102" t="s">
        <v>625</v>
      </c>
      <c r="C94" s="103"/>
      <c r="D94" s="103"/>
      <c r="E94" s="2"/>
      <c r="F94" s="2"/>
      <c r="G94" s="2"/>
      <c r="H94" s="2"/>
      <c r="I94" s="2"/>
      <c r="J94" s="2"/>
    </row>
    <row r="95" spans="1:10" ht="15.75" thickBot="1" x14ac:dyDescent="0.3">
      <c r="A95" s="258" t="s">
        <v>626</v>
      </c>
      <c r="B95" s="259" t="s">
        <v>627</v>
      </c>
      <c r="C95" s="260" t="s">
        <v>866</v>
      </c>
      <c r="D95" s="260" t="s">
        <v>867</v>
      </c>
      <c r="E95" s="2"/>
      <c r="F95" s="2"/>
      <c r="G95" s="2"/>
      <c r="H95" s="2"/>
      <c r="I95" s="2"/>
      <c r="J95" s="2"/>
    </row>
    <row r="96" spans="1:10" ht="15.75" thickBot="1" x14ac:dyDescent="0.3">
      <c r="A96" s="101" t="s">
        <v>628</v>
      </c>
      <c r="B96" s="102" t="s">
        <v>629</v>
      </c>
      <c r="C96" s="103" t="s">
        <v>868</v>
      </c>
      <c r="D96" s="103" t="s">
        <v>868</v>
      </c>
      <c r="E96" s="2"/>
      <c r="F96" s="2"/>
      <c r="G96" s="2"/>
      <c r="H96" s="2"/>
      <c r="I96" s="2"/>
      <c r="J96" s="2"/>
    </row>
    <row r="97" spans="1:10" ht="15.75" thickBot="1" x14ac:dyDescent="0.3">
      <c r="A97" s="101" t="s">
        <v>630</v>
      </c>
      <c r="B97" s="102" t="s">
        <v>631</v>
      </c>
      <c r="C97" s="103"/>
      <c r="D97" s="103"/>
      <c r="E97" s="2"/>
      <c r="F97" s="2"/>
      <c r="G97" s="2"/>
      <c r="H97" s="2"/>
      <c r="I97" s="2"/>
      <c r="J97" s="2"/>
    </row>
    <row r="98" spans="1:10" ht="15.75" thickBot="1" x14ac:dyDescent="0.3">
      <c r="A98" s="101" t="s">
        <v>632</v>
      </c>
      <c r="B98" s="102" t="s">
        <v>633</v>
      </c>
      <c r="C98" s="103"/>
      <c r="D98" s="103"/>
      <c r="E98" s="2"/>
      <c r="F98" s="2"/>
      <c r="G98" s="2"/>
      <c r="H98" s="2"/>
      <c r="I98" s="2"/>
      <c r="J98" s="2"/>
    </row>
    <row r="99" spans="1:10" ht="15.75" thickBot="1" x14ac:dyDescent="0.3">
      <c r="A99" s="101" t="s">
        <v>634</v>
      </c>
      <c r="B99" s="102" t="s">
        <v>635</v>
      </c>
      <c r="C99" s="103"/>
      <c r="D99" s="103"/>
      <c r="E99" s="2"/>
      <c r="F99" s="2"/>
      <c r="G99" s="2"/>
      <c r="H99" s="2"/>
      <c r="I99" s="2"/>
      <c r="J99" s="2"/>
    </row>
    <row r="100" spans="1:10" ht="15.75" thickBot="1" x14ac:dyDescent="0.3">
      <c r="A100" s="101" t="s">
        <v>636</v>
      </c>
      <c r="B100" s="102" t="s">
        <v>637</v>
      </c>
      <c r="C100" s="103"/>
      <c r="D100" s="103"/>
      <c r="E100" s="2"/>
      <c r="F100" s="2"/>
      <c r="G100" s="2"/>
      <c r="H100" s="2"/>
      <c r="I100" s="2"/>
      <c r="J100" s="2"/>
    </row>
    <row r="101" spans="1:10" ht="15.75" thickBot="1" x14ac:dyDescent="0.3">
      <c r="A101" s="101" t="s">
        <v>638</v>
      </c>
      <c r="B101" s="102" t="s">
        <v>639</v>
      </c>
      <c r="C101" s="103"/>
      <c r="D101" s="103"/>
      <c r="E101" s="2"/>
      <c r="F101" s="2"/>
      <c r="G101" s="2"/>
      <c r="H101" s="2"/>
      <c r="I101" s="2"/>
      <c r="J101" s="2"/>
    </row>
    <row r="102" spans="1:10" ht="15.75" thickBot="1" x14ac:dyDescent="0.3">
      <c r="A102" s="101" t="s">
        <v>640</v>
      </c>
      <c r="B102" s="102" t="s">
        <v>641</v>
      </c>
      <c r="C102" s="103"/>
      <c r="D102" s="103"/>
      <c r="E102" s="2"/>
      <c r="F102" s="2"/>
      <c r="G102" s="2"/>
      <c r="H102" s="2"/>
      <c r="I102" s="2"/>
      <c r="J102" s="2"/>
    </row>
    <row r="103" spans="1:10" ht="15.75" thickBot="1" x14ac:dyDescent="0.3">
      <c r="A103" s="101" t="s">
        <v>642</v>
      </c>
      <c r="B103" s="102" t="s">
        <v>594</v>
      </c>
      <c r="C103" s="103"/>
      <c r="D103" s="103"/>
      <c r="E103" s="2"/>
      <c r="F103" s="2"/>
      <c r="G103" s="2"/>
      <c r="H103" s="2"/>
      <c r="I103" s="2"/>
      <c r="J103" s="2"/>
    </row>
    <row r="104" spans="1:10" ht="15.75" thickBot="1" x14ac:dyDescent="0.3">
      <c r="A104" s="101" t="s">
        <v>643</v>
      </c>
      <c r="B104" s="102" t="s">
        <v>644</v>
      </c>
      <c r="C104" s="103"/>
      <c r="D104" s="103"/>
      <c r="E104" s="2"/>
      <c r="F104" s="2"/>
      <c r="G104" s="2"/>
      <c r="H104" s="2"/>
      <c r="I104" s="2"/>
      <c r="J104" s="2"/>
    </row>
    <row r="105" spans="1:10" ht="15.75" thickBot="1" x14ac:dyDescent="0.3">
      <c r="A105" s="101" t="s">
        <v>645</v>
      </c>
      <c r="B105" s="102" t="s">
        <v>646</v>
      </c>
      <c r="C105" s="103" t="s">
        <v>869</v>
      </c>
      <c r="D105" s="103" t="s">
        <v>870</v>
      </c>
      <c r="E105" s="2"/>
      <c r="F105" s="2"/>
      <c r="G105" s="2"/>
      <c r="H105" s="2"/>
      <c r="I105" s="2"/>
      <c r="J105" s="2"/>
    </row>
    <row r="106" spans="1:10" ht="15.75" thickBot="1" x14ac:dyDescent="0.3">
      <c r="A106" s="101" t="s">
        <v>647</v>
      </c>
      <c r="B106" s="102" t="s">
        <v>648</v>
      </c>
      <c r="C106" s="103" t="s">
        <v>871</v>
      </c>
      <c r="D106" s="103" t="s">
        <v>871</v>
      </c>
      <c r="E106" s="2"/>
      <c r="F106" s="2"/>
      <c r="G106" s="2"/>
      <c r="H106" s="2"/>
      <c r="I106" s="2"/>
      <c r="J106" s="2"/>
    </row>
    <row r="107" spans="1:10" ht="15.75" thickBot="1" x14ac:dyDescent="0.3">
      <c r="A107" s="101" t="s">
        <v>649</v>
      </c>
      <c r="B107" s="102" t="s">
        <v>650</v>
      </c>
      <c r="C107" s="103"/>
      <c r="D107" s="103"/>
      <c r="E107" s="2"/>
      <c r="F107" s="2"/>
      <c r="G107" s="2"/>
      <c r="H107" s="2"/>
      <c r="I107" s="2"/>
      <c r="J107" s="2"/>
    </row>
    <row r="108" spans="1:10" ht="15.75" thickBot="1" x14ac:dyDescent="0.3">
      <c r="A108" s="101" t="s">
        <v>651</v>
      </c>
      <c r="B108" s="102" t="s">
        <v>652</v>
      </c>
      <c r="C108" s="103"/>
      <c r="D108" s="103"/>
      <c r="E108" s="2"/>
      <c r="F108" s="2"/>
      <c r="G108" s="2"/>
      <c r="H108" s="2"/>
      <c r="I108" s="2"/>
      <c r="J108" s="2"/>
    </row>
    <row r="109" spans="1:10" ht="15.75" thickBot="1" x14ac:dyDescent="0.3">
      <c r="A109" s="101" t="s">
        <v>653</v>
      </c>
      <c r="B109" s="102" t="s">
        <v>654</v>
      </c>
      <c r="C109" s="103" t="s">
        <v>872</v>
      </c>
      <c r="D109" s="103" t="s">
        <v>873</v>
      </c>
      <c r="E109" s="2"/>
      <c r="F109" s="2"/>
      <c r="G109" s="2"/>
      <c r="H109" s="2"/>
      <c r="I109" s="2"/>
      <c r="J109" s="2"/>
    </row>
    <row r="110" spans="1:10" ht="15.75" thickBot="1" x14ac:dyDescent="0.3">
      <c r="A110" s="101" t="s">
        <v>655</v>
      </c>
      <c r="B110" s="102" t="s">
        <v>656</v>
      </c>
      <c r="C110" s="103" t="s">
        <v>874</v>
      </c>
      <c r="D110" s="103" t="s">
        <v>874</v>
      </c>
      <c r="E110" s="2"/>
      <c r="F110" s="2"/>
      <c r="G110" s="2"/>
      <c r="H110" s="2"/>
      <c r="I110" s="2"/>
      <c r="J110" s="2"/>
    </row>
    <row r="111" spans="1:10" ht="15.75" thickBot="1" x14ac:dyDescent="0.3">
      <c r="A111" s="101" t="s">
        <v>657</v>
      </c>
      <c r="B111" s="102" t="s">
        <v>658</v>
      </c>
      <c r="C111" s="103" t="s">
        <v>875</v>
      </c>
      <c r="D111" s="103" t="s">
        <v>875</v>
      </c>
      <c r="E111" s="2"/>
      <c r="F111" s="2"/>
      <c r="G111" s="2"/>
      <c r="H111" s="2"/>
      <c r="I111" s="2"/>
      <c r="J111" s="2"/>
    </row>
    <row r="112" spans="1:10" ht="15.75" thickBot="1" x14ac:dyDescent="0.3">
      <c r="A112" s="101" t="s">
        <v>659</v>
      </c>
      <c r="B112" s="102" t="s">
        <v>660</v>
      </c>
      <c r="C112" s="103"/>
      <c r="D112" s="103"/>
      <c r="E112" s="2"/>
      <c r="F112" s="2"/>
      <c r="G112" s="2"/>
      <c r="H112" s="2"/>
      <c r="I112" s="2"/>
      <c r="J112" s="2"/>
    </row>
    <row r="113" spans="1:10" ht="15.75" thickBot="1" x14ac:dyDescent="0.3">
      <c r="A113" s="101" t="s">
        <v>661</v>
      </c>
      <c r="B113" s="102" t="s">
        <v>662</v>
      </c>
      <c r="C113" s="103"/>
      <c r="D113" s="103"/>
      <c r="E113" s="2"/>
      <c r="F113" s="2"/>
      <c r="G113" s="2"/>
      <c r="H113" s="2"/>
      <c r="I113" s="2"/>
      <c r="J113" s="2"/>
    </row>
    <row r="114" spans="1:10" ht="15.75" thickBot="1" x14ac:dyDescent="0.3">
      <c r="A114" s="101" t="s">
        <v>663</v>
      </c>
      <c r="B114" s="102" t="s">
        <v>641</v>
      </c>
      <c r="C114" s="103"/>
      <c r="D114" s="103"/>
      <c r="E114" s="2"/>
      <c r="F114" s="2"/>
      <c r="G114" s="2"/>
      <c r="H114" s="2"/>
      <c r="I114" s="2"/>
      <c r="J114" s="2"/>
    </row>
    <row r="115" spans="1:10" ht="15.75" thickBot="1" x14ac:dyDescent="0.3">
      <c r="A115" s="101" t="s">
        <v>664</v>
      </c>
      <c r="B115" s="102" t="s">
        <v>665</v>
      </c>
      <c r="C115" s="103" t="s">
        <v>876</v>
      </c>
      <c r="D115" s="103" t="s">
        <v>493</v>
      </c>
      <c r="E115" s="2"/>
      <c r="F115" s="2"/>
      <c r="G115" s="2"/>
      <c r="H115" s="2"/>
      <c r="I115" s="2"/>
      <c r="J115" s="2"/>
    </row>
    <row r="116" spans="1:10" ht="15.75" thickBot="1" x14ac:dyDescent="0.3">
      <c r="A116" s="101" t="s">
        <v>666</v>
      </c>
      <c r="B116" s="102" t="s">
        <v>667</v>
      </c>
      <c r="C116" s="103"/>
      <c r="D116" s="103"/>
      <c r="E116" s="2"/>
      <c r="F116" s="2"/>
      <c r="G116" s="2"/>
      <c r="H116" s="2"/>
      <c r="I116" s="2"/>
      <c r="J116" s="2"/>
    </row>
    <row r="117" spans="1:10" ht="15.75" thickBot="1" x14ac:dyDescent="0.3">
      <c r="A117" s="101" t="s">
        <v>668</v>
      </c>
      <c r="B117" s="102" t="s">
        <v>669</v>
      </c>
      <c r="C117" s="103"/>
      <c r="D117" s="103"/>
      <c r="E117" s="2"/>
      <c r="F117" s="2"/>
      <c r="G117" s="2"/>
      <c r="H117" s="2"/>
      <c r="I117" s="2"/>
      <c r="J117" s="2"/>
    </row>
    <row r="118" spans="1:10" ht="15.75" thickBot="1" x14ac:dyDescent="0.3">
      <c r="A118" s="101" t="s">
        <v>670</v>
      </c>
      <c r="B118" s="102" t="s">
        <v>671</v>
      </c>
      <c r="C118" s="103" t="s">
        <v>598</v>
      </c>
      <c r="D118" s="103" t="s">
        <v>672</v>
      </c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7" t="s">
        <v>673</v>
      </c>
      <c r="B120" s="7"/>
      <c r="C120" s="7"/>
      <c r="D120" s="7"/>
      <c r="E120" s="7"/>
      <c r="F120" s="7"/>
      <c r="G120" s="7"/>
      <c r="H120" s="7"/>
      <c r="I120" s="7"/>
      <c r="J120" s="7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5905-1A4E-4D53-9534-FFF04F371922}">
  <sheetPr>
    <tabColor rgb="FFFFFF00"/>
  </sheetPr>
  <dimension ref="A1:K73"/>
  <sheetViews>
    <sheetView workbookViewId="0">
      <selection activeCell="D6" sqref="D6"/>
    </sheetView>
  </sheetViews>
  <sheetFormatPr defaultRowHeight="15" x14ac:dyDescent="0.25"/>
  <cols>
    <col min="1" max="1" width="35.140625" customWidth="1"/>
    <col min="2" max="2" width="55.5703125" bestFit="1" customWidth="1"/>
    <col min="3" max="10" width="11.85546875" customWidth="1"/>
  </cols>
  <sheetData>
    <row r="1" spans="1:10" x14ac:dyDescent="0.25">
      <c r="A1" s="99">
        <v>45930</v>
      </c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8" t="s">
        <v>1050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75" thickBot="1" x14ac:dyDescent="0.3">
      <c r="A4" s="100" t="s">
        <v>463</v>
      </c>
      <c r="B4" s="100" t="s">
        <v>464</v>
      </c>
      <c r="C4" s="100" t="s">
        <v>825</v>
      </c>
      <c r="D4" s="100" t="s">
        <v>465</v>
      </c>
      <c r="E4" s="2"/>
      <c r="F4" s="2"/>
      <c r="G4" s="2"/>
      <c r="H4" s="2"/>
      <c r="I4" s="2"/>
      <c r="J4" s="2"/>
    </row>
    <row r="5" spans="1:10" ht="15.75" thickBot="1" x14ac:dyDescent="0.3">
      <c r="A5" s="101" t="s">
        <v>885</v>
      </c>
      <c r="B5" s="102" t="s">
        <v>886</v>
      </c>
      <c r="C5" s="103" t="s">
        <v>826</v>
      </c>
      <c r="D5" s="103" t="s">
        <v>827</v>
      </c>
      <c r="E5" s="2"/>
      <c r="F5" s="2"/>
      <c r="G5" s="2"/>
      <c r="H5" s="2"/>
      <c r="I5" s="2"/>
      <c r="J5" s="2"/>
    </row>
    <row r="6" spans="1:10" ht="15.75" thickBot="1" x14ac:dyDescent="0.3">
      <c r="A6" s="241" t="s">
        <v>887</v>
      </c>
      <c r="B6" s="242" t="s">
        <v>888</v>
      </c>
      <c r="C6" s="243" t="s">
        <v>889</v>
      </c>
      <c r="D6" s="243" t="s">
        <v>890</v>
      </c>
      <c r="E6" s="2"/>
      <c r="F6" s="2"/>
      <c r="G6" s="2"/>
      <c r="H6" s="2"/>
      <c r="I6" s="2"/>
      <c r="J6" s="2"/>
    </row>
    <row r="7" spans="1:10" ht="15.75" thickBot="1" x14ac:dyDescent="0.3">
      <c r="A7" s="101" t="s">
        <v>891</v>
      </c>
      <c r="B7" s="102" t="s">
        <v>892</v>
      </c>
      <c r="C7" s="103" t="s">
        <v>893</v>
      </c>
      <c r="D7" s="103" t="s">
        <v>894</v>
      </c>
      <c r="E7" s="252">
        <v>38.090000000000003</v>
      </c>
      <c r="F7" s="2"/>
      <c r="G7" s="2"/>
      <c r="H7" s="2"/>
      <c r="I7" s="2"/>
      <c r="J7" s="2"/>
    </row>
    <row r="8" spans="1:10" ht="15.75" thickBot="1" x14ac:dyDescent="0.3">
      <c r="A8" s="101" t="s">
        <v>895</v>
      </c>
      <c r="B8" s="102" t="s">
        <v>896</v>
      </c>
      <c r="C8" s="103"/>
      <c r="D8" s="103"/>
      <c r="E8" s="2"/>
      <c r="F8" s="2"/>
      <c r="G8" s="2"/>
      <c r="H8" s="2"/>
      <c r="I8" s="2"/>
      <c r="J8" s="2"/>
    </row>
    <row r="9" spans="1:10" ht="15.75" thickBot="1" x14ac:dyDescent="0.3">
      <c r="A9" s="101" t="s">
        <v>897</v>
      </c>
      <c r="B9" s="102" t="s">
        <v>898</v>
      </c>
      <c r="C9" s="103"/>
      <c r="D9" s="103"/>
      <c r="E9" s="2"/>
      <c r="F9" s="2"/>
      <c r="G9" s="2"/>
      <c r="H9" s="2"/>
      <c r="I9" s="2"/>
      <c r="J9" s="2"/>
    </row>
    <row r="10" spans="1:10" ht="15.75" thickBot="1" x14ac:dyDescent="0.3">
      <c r="A10" s="101" t="s">
        <v>899</v>
      </c>
      <c r="B10" s="102" t="s">
        <v>900</v>
      </c>
      <c r="C10" s="103"/>
      <c r="D10" s="103"/>
      <c r="E10" s="2"/>
      <c r="F10" s="2"/>
      <c r="G10" s="2"/>
      <c r="H10" s="2"/>
      <c r="I10" s="2"/>
      <c r="J10" s="2"/>
    </row>
    <row r="11" spans="1:10" ht="15.75" thickBot="1" x14ac:dyDescent="0.3">
      <c r="A11" s="101" t="s">
        <v>901</v>
      </c>
      <c r="B11" s="102" t="s">
        <v>902</v>
      </c>
      <c r="C11" s="103"/>
      <c r="D11" s="103"/>
      <c r="E11" s="2"/>
      <c r="F11" s="2"/>
      <c r="G11" s="2"/>
      <c r="H11" s="2"/>
      <c r="I11" s="2"/>
      <c r="J11" s="2"/>
    </row>
    <row r="12" spans="1:10" ht="15.75" thickBot="1" x14ac:dyDescent="0.3">
      <c r="A12" s="101" t="s">
        <v>903</v>
      </c>
      <c r="B12" s="102" t="s">
        <v>904</v>
      </c>
      <c r="C12" s="103"/>
      <c r="D12" s="103"/>
      <c r="E12" s="2"/>
      <c r="F12" s="2"/>
      <c r="G12" s="2"/>
      <c r="H12" s="2"/>
      <c r="I12" s="2"/>
      <c r="J12" s="2"/>
    </row>
    <row r="13" spans="1:10" ht="15.75" thickBot="1" x14ac:dyDescent="0.3">
      <c r="A13" s="101" t="s">
        <v>905</v>
      </c>
      <c r="B13" s="102" t="s">
        <v>906</v>
      </c>
      <c r="C13" s="103"/>
      <c r="D13" s="103"/>
      <c r="E13" s="2"/>
      <c r="F13" s="2"/>
      <c r="G13" s="2"/>
      <c r="H13" s="2"/>
      <c r="I13" s="2"/>
      <c r="J13" s="2"/>
    </row>
    <row r="14" spans="1:10" ht="15.75" thickBot="1" x14ac:dyDescent="0.3">
      <c r="A14" s="101" t="s">
        <v>907</v>
      </c>
      <c r="B14" s="102" t="s">
        <v>908</v>
      </c>
      <c r="C14" s="103" t="s">
        <v>909</v>
      </c>
      <c r="D14" s="103" t="s">
        <v>910</v>
      </c>
      <c r="E14" s="2"/>
      <c r="F14" s="2"/>
      <c r="G14" s="2"/>
      <c r="H14" s="2"/>
      <c r="I14" s="2"/>
      <c r="J14" s="2"/>
    </row>
    <row r="15" spans="1:10" ht="15.75" thickBot="1" x14ac:dyDescent="0.3">
      <c r="A15" s="101" t="s">
        <v>911</v>
      </c>
      <c r="B15" s="102" t="s">
        <v>912</v>
      </c>
      <c r="C15" s="103" t="s">
        <v>909</v>
      </c>
      <c r="D15" s="103" t="s">
        <v>910</v>
      </c>
      <c r="E15" s="2"/>
      <c r="F15" s="2"/>
      <c r="G15" s="2"/>
      <c r="H15" s="2"/>
      <c r="I15" s="2"/>
      <c r="J15" s="2"/>
    </row>
    <row r="16" spans="1:10" ht="15.75" thickBot="1" x14ac:dyDescent="0.3">
      <c r="A16" s="101" t="s">
        <v>913</v>
      </c>
      <c r="B16" s="102" t="s">
        <v>914</v>
      </c>
      <c r="C16" s="103"/>
      <c r="D16" s="103"/>
      <c r="E16" s="2"/>
      <c r="F16" s="2"/>
      <c r="G16" s="2"/>
      <c r="H16" s="2"/>
      <c r="I16" s="2"/>
      <c r="J16" s="2"/>
    </row>
    <row r="17" spans="1:10" ht="15.75" thickBot="1" x14ac:dyDescent="0.3">
      <c r="A17" s="101" t="s">
        <v>915</v>
      </c>
      <c r="B17" s="102" t="s">
        <v>916</v>
      </c>
      <c r="C17" s="103"/>
      <c r="D17" s="103"/>
      <c r="E17" s="2"/>
      <c r="F17" s="2"/>
      <c r="G17" s="2"/>
      <c r="H17" s="2"/>
      <c r="I17" s="2"/>
      <c r="J17" s="2"/>
    </row>
    <row r="18" spans="1:10" ht="15.75" thickBot="1" x14ac:dyDescent="0.3">
      <c r="A18" s="101" t="s">
        <v>917</v>
      </c>
      <c r="B18" s="102" t="s">
        <v>918</v>
      </c>
      <c r="C18" s="103"/>
      <c r="D18" s="103"/>
      <c r="E18" s="2"/>
      <c r="F18" s="2"/>
      <c r="G18" s="2"/>
      <c r="H18" s="2"/>
      <c r="I18" s="2"/>
      <c r="J18" s="2"/>
    </row>
    <row r="19" spans="1:10" ht="15.75" thickBot="1" x14ac:dyDescent="0.3">
      <c r="A19" s="101" t="s">
        <v>919</v>
      </c>
      <c r="B19" s="102" t="s">
        <v>920</v>
      </c>
      <c r="C19" s="103" t="s">
        <v>921</v>
      </c>
      <c r="D19" s="103" t="s">
        <v>922</v>
      </c>
      <c r="E19" s="2"/>
      <c r="F19" s="2"/>
      <c r="G19" s="2"/>
      <c r="H19" s="2"/>
      <c r="I19" s="2"/>
      <c r="J19" s="2"/>
    </row>
    <row r="20" spans="1:10" ht="15.75" thickBot="1" x14ac:dyDescent="0.3">
      <c r="A20" s="101" t="s">
        <v>923</v>
      </c>
      <c r="B20" s="102" t="s">
        <v>924</v>
      </c>
      <c r="C20" s="103" t="s">
        <v>921</v>
      </c>
      <c r="D20" s="103" t="s">
        <v>922</v>
      </c>
      <c r="E20" s="2"/>
      <c r="F20" s="2"/>
      <c r="G20" s="2"/>
      <c r="H20" s="2"/>
      <c r="I20" s="2"/>
      <c r="J20" s="2"/>
    </row>
    <row r="21" spans="1:10" ht="15.75" thickBot="1" x14ac:dyDescent="0.3">
      <c r="A21" s="101" t="s">
        <v>925</v>
      </c>
      <c r="B21" s="102" t="s">
        <v>926</v>
      </c>
      <c r="C21" s="103" t="s">
        <v>927</v>
      </c>
      <c r="D21" s="103" t="s">
        <v>928</v>
      </c>
      <c r="E21" s="2"/>
      <c r="F21" s="2"/>
      <c r="G21" s="2"/>
      <c r="H21" s="2"/>
      <c r="I21" s="2"/>
      <c r="J21" s="2"/>
    </row>
    <row r="22" spans="1:10" ht="15.75" thickBot="1" x14ac:dyDescent="0.3">
      <c r="A22" s="101" t="s">
        <v>929</v>
      </c>
      <c r="B22" s="102" t="s">
        <v>930</v>
      </c>
      <c r="C22" s="103" t="s">
        <v>931</v>
      </c>
      <c r="D22" s="103" t="s">
        <v>932</v>
      </c>
      <c r="E22" s="2"/>
      <c r="F22" s="2"/>
      <c r="G22" s="2"/>
      <c r="H22" s="2"/>
      <c r="I22" s="2"/>
      <c r="J22" s="2"/>
    </row>
    <row r="23" spans="1:10" ht="15.75" thickBot="1" x14ac:dyDescent="0.3">
      <c r="A23" s="101" t="s">
        <v>933</v>
      </c>
      <c r="B23" s="102" t="s">
        <v>934</v>
      </c>
      <c r="C23" s="103"/>
      <c r="D23" s="103"/>
      <c r="E23" s="2"/>
      <c r="F23" s="2"/>
      <c r="G23" s="2"/>
      <c r="H23" s="2"/>
      <c r="I23" s="2"/>
      <c r="J23" s="2"/>
    </row>
    <row r="24" spans="1:10" ht="15.75" thickBot="1" x14ac:dyDescent="0.3">
      <c r="A24" s="248" t="s">
        <v>935</v>
      </c>
      <c r="B24" s="249" t="s">
        <v>936</v>
      </c>
      <c r="C24" s="250"/>
      <c r="D24" s="250"/>
      <c r="E24" s="2"/>
      <c r="F24" s="2"/>
      <c r="G24" s="2"/>
      <c r="H24" s="2"/>
      <c r="I24" s="2"/>
      <c r="J24" s="2"/>
    </row>
    <row r="25" spans="1:10" ht="15.75" thickBot="1" x14ac:dyDescent="0.3">
      <c r="A25" s="101" t="s">
        <v>937</v>
      </c>
      <c r="B25" s="102" t="s">
        <v>504</v>
      </c>
      <c r="C25" s="103" t="s">
        <v>931</v>
      </c>
      <c r="D25" s="103" t="s">
        <v>932</v>
      </c>
      <c r="E25" s="2"/>
      <c r="F25" s="2"/>
      <c r="G25" s="2"/>
      <c r="H25" s="2"/>
      <c r="I25" s="2"/>
      <c r="J25" s="2"/>
    </row>
    <row r="26" spans="1:10" ht="15.75" thickBot="1" x14ac:dyDescent="0.3">
      <c r="A26" s="101" t="s">
        <v>938</v>
      </c>
      <c r="B26" s="102" t="s">
        <v>939</v>
      </c>
      <c r="C26" s="103"/>
      <c r="D26" s="103"/>
      <c r="E26" s="2"/>
      <c r="F26" s="2"/>
      <c r="G26" s="2"/>
      <c r="H26" s="2"/>
      <c r="I26" s="2"/>
      <c r="J26" s="2"/>
    </row>
    <row r="27" spans="1:10" ht="15.75" thickBot="1" x14ac:dyDescent="0.3">
      <c r="A27" s="101" t="s">
        <v>940</v>
      </c>
      <c r="B27" s="102" t="s">
        <v>941</v>
      </c>
      <c r="C27" s="103" t="s">
        <v>942</v>
      </c>
      <c r="D27" s="103" t="s">
        <v>943</v>
      </c>
      <c r="E27" s="2"/>
      <c r="F27" s="2"/>
      <c r="G27" s="2"/>
      <c r="H27" s="2"/>
      <c r="I27" s="2"/>
      <c r="J27" s="2"/>
    </row>
    <row r="28" spans="1:10" ht="15.75" thickBot="1" x14ac:dyDescent="0.3">
      <c r="A28" s="101" t="s">
        <v>944</v>
      </c>
      <c r="B28" s="102" t="s">
        <v>504</v>
      </c>
      <c r="C28" s="103" t="s">
        <v>945</v>
      </c>
      <c r="D28" s="103" t="s">
        <v>946</v>
      </c>
      <c r="E28" s="2"/>
      <c r="F28" s="2"/>
      <c r="G28" s="2"/>
      <c r="H28" s="2"/>
      <c r="I28" s="2"/>
      <c r="J28" s="2"/>
    </row>
    <row r="29" spans="1:10" ht="15.75" thickBot="1" x14ac:dyDescent="0.3">
      <c r="A29" s="101" t="s">
        <v>947</v>
      </c>
      <c r="B29" s="102" t="s">
        <v>948</v>
      </c>
      <c r="C29" s="103" t="s">
        <v>949</v>
      </c>
      <c r="D29" s="103" t="s">
        <v>950</v>
      </c>
      <c r="E29" s="2"/>
      <c r="F29" s="2"/>
      <c r="G29" s="2"/>
      <c r="H29" s="2"/>
      <c r="I29" s="2"/>
      <c r="J29" s="2"/>
    </row>
    <row r="30" spans="1:10" ht="15.75" thickBot="1" x14ac:dyDescent="0.3">
      <c r="A30" s="101" t="s">
        <v>951</v>
      </c>
      <c r="B30" s="102" t="s">
        <v>952</v>
      </c>
      <c r="C30" s="103" t="s">
        <v>953</v>
      </c>
      <c r="D30" s="103" t="s">
        <v>954</v>
      </c>
      <c r="E30" s="2"/>
      <c r="F30" s="2"/>
      <c r="G30" s="2"/>
      <c r="H30" s="2"/>
      <c r="I30" s="2"/>
      <c r="J30" s="2"/>
    </row>
    <row r="31" spans="1:10" ht="15.75" thickBot="1" x14ac:dyDescent="0.3">
      <c r="A31" s="101" t="s">
        <v>955</v>
      </c>
      <c r="B31" s="102" t="s">
        <v>898</v>
      </c>
      <c r="C31" s="103"/>
      <c r="D31" s="103"/>
      <c r="E31" s="2"/>
      <c r="F31" s="2"/>
      <c r="G31" s="2"/>
      <c r="H31" s="2"/>
      <c r="I31" s="2"/>
      <c r="J31" s="2"/>
    </row>
    <row r="32" spans="1:10" ht="15.75" thickBot="1" x14ac:dyDescent="0.3">
      <c r="A32" s="101" t="s">
        <v>956</v>
      </c>
      <c r="B32" s="102" t="s">
        <v>902</v>
      </c>
      <c r="C32" s="103"/>
      <c r="D32" s="103"/>
      <c r="E32" s="2"/>
      <c r="F32" s="2"/>
      <c r="G32" s="2"/>
      <c r="H32" s="2"/>
      <c r="I32" s="2"/>
      <c r="J32" s="2"/>
    </row>
    <row r="33" spans="1:10" ht="15.75" thickBot="1" x14ac:dyDescent="0.3">
      <c r="A33" s="101" t="s">
        <v>957</v>
      </c>
      <c r="B33" s="102" t="s">
        <v>904</v>
      </c>
      <c r="C33" s="103"/>
      <c r="D33" s="103"/>
      <c r="E33" s="2"/>
      <c r="F33" s="2"/>
      <c r="G33" s="2"/>
      <c r="H33" s="2"/>
      <c r="I33" s="2"/>
      <c r="J33" s="2"/>
    </row>
    <row r="34" spans="1:10" ht="15.75" thickBot="1" x14ac:dyDescent="0.3">
      <c r="A34" s="101" t="s">
        <v>958</v>
      </c>
      <c r="B34" s="102" t="s">
        <v>906</v>
      </c>
      <c r="C34" s="103"/>
      <c r="D34" s="103"/>
      <c r="E34" s="2"/>
      <c r="F34" s="2"/>
      <c r="G34" s="2"/>
      <c r="H34" s="2"/>
      <c r="I34" s="2"/>
      <c r="J34" s="2"/>
    </row>
    <row r="35" spans="1:10" ht="15.75" thickBot="1" x14ac:dyDescent="0.3">
      <c r="A35" s="101" t="s">
        <v>959</v>
      </c>
      <c r="B35" s="102" t="s">
        <v>908</v>
      </c>
      <c r="C35" s="103"/>
      <c r="D35" s="103"/>
      <c r="E35" s="2"/>
      <c r="F35" s="2"/>
      <c r="G35" s="2"/>
      <c r="H35" s="2"/>
      <c r="I35" s="2"/>
      <c r="J35" s="2"/>
    </row>
    <row r="36" spans="1:10" ht="15.75" thickBot="1" x14ac:dyDescent="0.3">
      <c r="A36" s="101" t="s">
        <v>960</v>
      </c>
      <c r="B36" s="102" t="s">
        <v>912</v>
      </c>
      <c r="C36" s="103"/>
      <c r="D36" s="103"/>
      <c r="E36" s="2"/>
      <c r="F36" s="2"/>
      <c r="G36" s="2"/>
      <c r="H36" s="2"/>
      <c r="I36" s="2"/>
      <c r="J36" s="2"/>
    </row>
    <row r="37" spans="1:10" ht="15.75" thickBot="1" x14ac:dyDescent="0.3">
      <c r="A37" s="101" t="s">
        <v>961</v>
      </c>
      <c r="B37" s="102" t="s">
        <v>914</v>
      </c>
      <c r="C37" s="103"/>
      <c r="D37" s="103"/>
      <c r="E37" s="2"/>
      <c r="F37" s="2"/>
      <c r="G37" s="2"/>
      <c r="H37" s="2"/>
      <c r="I37" s="2"/>
      <c r="J37" s="2"/>
    </row>
    <row r="38" spans="1:10" ht="15.75" thickBot="1" x14ac:dyDescent="0.3">
      <c r="A38" s="101" t="s">
        <v>962</v>
      </c>
      <c r="B38" s="102" t="s">
        <v>916</v>
      </c>
      <c r="C38" s="103"/>
      <c r="D38" s="103"/>
      <c r="E38" s="2"/>
      <c r="F38" s="2"/>
      <c r="G38" s="2"/>
      <c r="H38" s="2"/>
      <c r="I38" s="2"/>
      <c r="J38" s="2"/>
    </row>
    <row r="39" spans="1:10" ht="15.75" thickBot="1" x14ac:dyDescent="0.3">
      <c r="A39" s="101" t="s">
        <v>963</v>
      </c>
      <c r="B39" s="102" t="s">
        <v>918</v>
      </c>
      <c r="C39" s="103"/>
      <c r="D39" s="103"/>
      <c r="E39" s="2"/>
      <c r="F39" s="2"/>
      <c r="G39" s="2"/>
      <c r="H39" s="2"/>
      <c r="I39" s="2"/>
      <c r="J39" s="2"/>
    </row>
    <row r="40" spans="1:10" ht="15.75" thickBot="1" x14ac:dyDescent="0.3">
      <c r="A40" s="101" t="s">
        <v>964</v>
      </c>
      <c r="B40" s="102" t="s">
        <v>602</v>
      </c>
      <c r="C40" s="103"/>
      <c r="D40" s="103"/>
      <c r="E40" s="2"/>
      <c r="F40" s="2"/>
      <c r="G40" s="2"/>
      <c r="H40" s="2"/>
      <c r="I40" s="2"/>
      <c r="J40" s="2"/>
    </row>
    <row r="41" spans="1:10" ht="15.75" thickBot="1" x14ac:dyDescent="0.3">
      <c r="A41" s="101" t="s">
        <v>965</v>
      </c>
      <c r="B41" s="102" t="s">
        <v>604</v>
      </c>
      <c r="C41" s="103"/>
      <c r="D41" s="103"/>
      <c r="E41" s="2"/>
      <c r="F41" s="2"/>
      <c r="G41" s="2"/>
      <c r="H41" s="2"/>
      <c r="I41" s="2"/>
      <c r="J41" s="2"/>
    </row>
    <row r="42" spans="1:10" ht="15.75" thickBot="1" x14ac:dyDescent="0.3">
      <c r="A42" s="101" t="s">
        <v>966</v>
      </c>
      <c r="B42" s="102" t="s">
        <v>926</v>
      </c>
      <c r="C42" s="103"/>
      <c r="D42" s="103"/>
      <c r="E42" s="2"/>
      <c r="F42" s="2"/>
      <c r="G42" s="2"/>
      <c r="H42" s="2"/>
      <c r="I42" s="2"/>
      <c r="J42" s="2"/>
    </row>
    <row r="43" spans="1:10" ht="15.75" thickBot="1" x14ac:dyDescent="0.3">
      <c r="A43" s="101" t="s">
        <v>967</v>
      </c>
      <c r="B43" s="102" t="s">
        <v>968</v>
      </c>
      <c r="C43" s="103"/>
      <c r="D43" s="103"/>
      <c r="E43" s="2"/>
      <c r="F43" s="2"/>
      <c r="G43" s="2"/>
      <c r="H43" s="2"/>
      <c r="I43" s="2"/>
      <c r="J43" s="2"/>
    </row>
    <row r="44" spans="1:10" ht="15.75" thickBot="1" x14ac:dyDescent="0.3">
      <c r="A44" s="101" t="s">
        <v>969</v>
      </c>
      <c r="B44" s="102" t="s">
        <v>970</v>
      </c>
      <c r="C44" s="103"/>
      <c r="D44" s="103"/>
      <c r="E44" s="2"/>
      <c r="F44" s="2"/>
      <c r="G44" s="2"/>
      <c r="H44" s="2"/>
      <c r="I44" s="2"/>
      <c r="J44" s="2"/>
    </row>
    <row r="45" spans="1:10" ht="15.75" thickBot="1" x14ac:dyDescent="0.3">
      <c r="A45" s="101" t="s">
        <v>971</v>
      </c>
      <c r="B45" s="102" t="s">
        <v>972</v>
      </c>
      <c r="C45" s="103"/>
      <c r="D45" s="103"/>
      <c r="E45" s="2"/>
      <c r="F45" s="2"/>
      <c r="G45" s="2"/>
      <c r="H45" s="2"/>
      <c r="I45" s="2"/>
      <c r="J45" s="2"/>
    </row>
    <row r="46" spans="1:10" ht="15.75" thickBot="1" x14ac:dyDescent="0.3">
      <c r="A46" s="101" t="s">
        <v>973</v>
      </c>
      <c r="B46" s="102" t="s">
        <v>974</v>
      </c>
      <c r="C46" s="103"/>
      <c r="D46" s="103"/>
      <c r="E46" s="2"/>
      <c r="F46" s="2"/>
      <c r="G46" s="2"/>
      <c r="H46" s="2"/>
      <c r="I46" s="2"/>
      <c r="J46" s="2"/>
    </row>
    <row r="47" spans="1:10" ht="15.75" thickBot="1" x14ac:dyDescent="0.3">
      <c r="A47" s="101" t="s">
        <v>975</v>
      </c>
      <c r="B47" s="102" t="s">
        <v>976</v>
      </c>
      <c r="C47" s="103"/>
      <c r="D47" s="103"/>
      <c r="E47" s="2"/>
      <c r="F47" s="2"/>
      <c r="G47" s="2"/>
      <c r="H47" s="2"/>
      <c r="I47" s="2"/>
      <c r="J47" s="2"/>
    </row>
    <row r="48" spans="1:10" ht="15.75" thickBot="1" x14ac:dyDescent="0.3">
      <c r="A48" s="101" t="s">
        <v>977</v>
      </c>
      <c r="B48" s="102" t="s">
        <v>978</v>
      </c>
      <c r="C48" s="103" t="s">
        <v>953</v>
      </c>
      <c r="D48" s="103" t="s">
        <v>954</v>
      </c>
      <c r="E48" s="2"/>
      <c r="F48" s="2"/>
      <c r="G48" s="2"/>
      <c r="H48" s="2"/>
      <c r="I48" s="2"/>
      <c r="J48" s="2"/>
    </row>
    <row r="49" spans="1:11" ht="15.75" thickBot="1" x14ac:dyDescent="0.3">
      <c r="A49" s="101" t="s">
        <v>979</v>
      </c>
      <c r="B49" s="102" t="s">
        <v>934</v>
      </c>
      <c r="C49" s="103"/>
      <c r="D49" s="103"/>
      <c r="E49" s="2"/>
      <c r="F49" s="2"/>
      <c r="G49" s="2"/>
      <c r="H49" s="2"/>
      <c r="I49" s="2"/>
      <c r="J49" s="2"/>
    </row>
    <row r="50" spans="1:11" ht="15.75" thickBot="1" x14ac:dyDescent="0.3">
      <c r="A50" s="101" t="s">
        <v>980</v>
      </c>
      <c r="B50" s="102" t="s">
        <v>936</v>
      </c>
      <c r="C50" s="103"/>
      <c r="D50" s="103"/>
      <c r="E50" s="2"/>
      <c r="F50" s="2"/>
      <c r="G50" s="2"/>
      <c r="H50" s="2"/>
      <c r="I50" s="2"/>
      <c r="J50" s="2"/>
    </row>
    <row r="51" spans="1:11" ht="15.75" thickBot="1" x14ac:dyDescent="0.3">
      <c r="A51" s="101" t="s">
        <v>981</v>
      </c>
      <c r="B51" s="102" t="s">
        <v>982</v>
      </c>
      <c r="C51" s="103" t="s">
        <v>983</v>
      </c>
      <c r="D51" s="103" t="s">
        <v>984</v>
      </c>
      <c r="E51" s="2"/>
      <c r="F51" s="2"/>
      <c r="G51" s="2"/>
      <c r="H51" s="2"/>
      <c r="I51" s="2"/>
      <c r="J51" s="2"/>
    </row>
    <row r="52" spans="1:11" ht="15.75" thickBot="1" x14ac:dyDescent="0.3">
      <c r="A52" s="101" t="s">
        <v>985</v>
      </c>
      <c r="B52" s="102" t="s">
        <v>939</v>
      </c>
      <c r="C52" s="103"/>
      <c r="D52" s="103"/>
      <c r="E52" s="2"/>
      <c r="F52" s="2"/>
      <c r="G52" s="2"/>
      <c r="H52" s="2"/>
      <c r="I52" s="2"/>
      <c r="J52" s="2"/>
    </row>
    <row r="53" spans="1:11" ht="15.75" thickBot="1" x14ac:dyDescent="0.3">
      <c r="A53" s="101" t="s">
        <v>986</v>
      </c>
      <c r="B53" s="102" t="s">
        <v>941</v>
      </c>
      <c r="C53" s="103" t="s">
        <v>987</v>
      </c>
      <c r="D53" s="103" t="s">
        <v>988</v>
      </c>
      <c r="E53" s="2"/>
      <c r="F53" s="2"/>
      <c r="G53" s="2"/>
      <c r="H53" s="2"/>
      <c r="I53" s="2"/>
      <c r="J53" s="2"/>
    </row>
    <row r="54" spans="1:11" ht="15.75" thickBot="1" x14ac:dyDescent="0.3">
      <c r="A54" s="101" t="s">
        <v>989</v>
      </c>
      <c r="B54" s="102" t="s">
        <v>990</v>
      </c>
      <c r="C54" s="103" t="s">
        <v>991</v>
      </c>
      <c r="D54" s="103" t="s">
        <v>991</v>
      </c>
      <c r="E54" s="2"/>
      <c r="F54" s="2"/>
      <c r="G54" s="2"/>
      <c r="H54" s="2"/>
      <c r="I54" s="2"/>
      <c r="J54" s="2"/>
    </row>
    <row r="55" spans="1:11" ht="15.75" thickBot="1" x14ac:dyDescent="0.3">
      <c r="A55" s="101" t="s">
        <v>992</v>
      </c>
      <c r="B55" s="102" t="s">
        <v>504</v>
      </c>
      <c r="C55" s="103"/>
      <c r="D55" s="103"/>
      <c r="E55" s="2"/>
      <c r="F55" s="2"/>
      <c r="G55" s="2"/>
      <c r="H55" s="2"/>
      <c r="I55" s="2"/>
      <c r="J55" s="2"/>
    </row>
    <row r="56" spans="1:11" ht="15.75" thickBot="1" x14ac:dyDescent="0.3">
      <c r="A56" s="241" t="s">
        <v>993</v>
      </c>
      <c r="B56" s="242" t="s">
        <v>994</v>
      </c>
      <c r="C56" s="243" t="s">
        <v>493</v>
      </c>
      <c r="D56" s="243" t="s">
        <v>995</v>
      </c>
      <c r="E56" s="2"/>
      <c r="F56" s="2"/>
      <c r="G56" s="2"/>
      <c r="H56" s="2"/>
      <c r="I56" s="2"/>
      <c r="J56" s="2"/>
    </row>
    <row r="57" spans="1:11" ht="15.75" thickBot="1" x14ac:dyDescent="0.3">
      <c r="A57" s="101" t="s">
        <v>996</v>
      </c>
      <c r="B57" s="102" t="s">
        <v>997</v>
      </c>
      <c r="C57" s="103"/>
      <c r="D57" s="103"/>
      <c r="E57" s="2"/>
      <c r="F57" s="2"/>
      <c r="G57" s="2"/>
      <c r="H57" s="2"/>
      <c r="I57" s="2"/>
      <c r="J57" s="2"/>
    </row>
    <row r="58" spans="1:11" ht="15.75" thickBot="1" x14ac:dyDescent="0.3">
      <c r="A58" s="248" t="s">
        <v>998</v>
      </c>
      <c r="B58" s="249" t="s">
        <v>999</v>
      </c>
      <c r="C58" s="250"/>
      <c r="D58" s="251"/>
      <c r="E58" s="2"/>
      <c r="F58" s="2"/>
      <c r="G58" s="2"/>
      <c r="H58" s="2"/>
      <c r="I58" s="2"/>
      <c r="J58" s="2"/>
      <c r="K58" s="247"/>
    </row>
    <row r="59" spans="1:11" ht="15.75" thickBot="1" x14ac:dyDescent="0.3">
      <c r="A59" s="101" t="s">
        <v>1000</v>
      </c>
      <c r="B59" s="102" t="s">
        <v>1001</v>
      </c>
      <c r="C59" s="103"/>
      <c r="D59" s="103"/>
      <c r="E59" s="2"/>
      <c r="F59" s="2"/>
      <c r="G59" s="2"/>
      <c r="H59" s="2"/>
      <c r="I59" s="2"/>
      <c r="J59" s="2"/>
      <c r="K59" s="247"/>
    </row>
    <row r="60" spans="1:11" ht="15.75" thickBot="1" x14ac:dyDescent="0.3">
      <c r="A60" s="101" t="s">
        <v>1002</v>
      </c>
      <c r="B60" s="102" t="s">
        <v>1003</v>
      </c>
      <c r="C60" s="103"/>
      <c r="D60" s="103"/>
      <c r="E60" s="2"/>
      <c r="F60" s="2"/>
      <c r="G60" s="2"/>
      <c r="H60" s="2"/>
      <c r="I60" s="2"/>
      <c r="J60" s="2"/>
      <c r="K60" s="247"/>
    </row>
    <row r="61" spans="1:11" ht="15.75" thickBot="1" x14ac:dyDescent="0.3">
      <c r="A61" s="101" t="s">
        <v>1004</v>
      </c>
      <c r="B61" s="102" t="s">
        <v>1005</v>
      </c>
      <c r="C61" s="103"/>
      <c r="D61" s="103"/>
      <c r="E61" s="2"/>
      <c r="F61" s="2"/>
      <c r="G61" s="2"/>
      <c r="H61" s="2"/>
      <c r="I61" s="2"/>
      <c r="J61" s="2"/>
    </row>
    <row r="62" spans="1:11" ht="15.75" thickBot="1" x14ac:dyDescent="0.3">
      <c r="A62" s="101" t="s">
        <v>1006</v>
      </c>
      <c r="B62" s="102" t="s">
        <v>1007</v>
      </c>
      <c r="C62" s="103"/>
      <c r="D62" s="103"/>
      <c r="E62" s="2"/>
      <c r="F62" s="2"/>
      <c r="G62" s="2"/>
      <c r="H62" s="2"/>
      <c r="I62" s="2"/>
      <c r="J62" s="2"/>
    </row>
    <row r="63" spans="1:11" ht="15.75" thickBot="1" x14ac:dyDescent="0.3">
      <c r="A63" s="101" t="s">
        <v>1008</v>
      </c>
      <c r="B63" s="102" t="s">
        <v>1009</v>
      </c>
      <c r="C63" s="103"/>
      <c r="D63" s="103"/>
      <c r="E63" s="2"/>
      <c r="F63" s="2"/>
      <c r="G63" s="2"/>
      <c r="H63" s="2"/>
      <c r="I63" s="2"/>
      <c r="J63" s="2"/>
    </row>
    <row r="64" spans="1:11" ht="15.75" thickBot="1" x14ac:dyDescent="0.3">
      <c r="A64" s="101" t="s">
        <v>1010</v>
      </c>
      <c r="B64" s="102" t="s">
        <v>1011</v>
      </c>
      <c r="C64" s="103" t="s">
        <v>1012</v>
      </c>
      <c r="D64" s="103" t="s">
        <v>1013</v>
      </c>
      <c r="E64" s="2"/>
      <c r="F64" s="2"/>
      <c r="G64" s="2"/>
      <c r="H64" s="2"/>
      <c r="I64" s="2"/>
      <c r="J64" s="2"/>
    </row>
    <row r="65" spans="1:10" ht="15.75" thickBot="1" x14ac:dyDescent="0.3">
      <c r="A65" s="101" t="s">
        <v>1014</v>
      </c>
      <c r="B65" s="102" t="s">
        <v>1015</v>
      </c>
      <c r="C65" s="103" t="s">
        <v>1016</v>
      </c>
      <c r="D65" s="103" t="s">
        <v>1017</v>
      </c>
      <c r="E65" s="2"/>
      <c r="F65" s="2"/>
      <c r="G65" s="2"/>
      <c r="H65" s="2"/>
      <c r="I65" s="2"/>
      <c r="J65" s="2"/>
    </row>
    <row r="66" spans="1:10" ht="15.75" thickBot="1" x14ac:dyDescent="0.3">
      <c r="A66" s="101" t="s">
        <v>1018</v>
      </c>
      <c r="B66" s="102" t="s">
        <v>1019</v>
      </c>
      <c r="C66" s="103"/>
      <c r="D66" s="103"/>
      <c r="E66" s="2"/>
      <c r="F66" s="2"/>
      <c r="G66" s="2"/>
      <c r="H66" s="2"/>
      <c r="I66" s="2"/>
      <c r="J66" s="2"/>
    </row>
    <row r="67" spans="1:10" ht="15.75" thickBot="1" x14ac:dyDescent="0.3">
      <c r="A67" s="101" t="s">
        <v>1020</v>
      </c>
      <c r="B67" s="102" t="s">
        <v>1021</v>
      </c>
      <c r="C67" s="103" t="s">
        <v>1022</v>
      </c>
      <c r="D67" s="103" t="s">
        <v>1023</v>
      </c>
      <c r="E67" s="2"/>
      <c r="F67" s="2"/>
      <c r="G67" s="2"/>
      <c r="H67" s="2"/>
      <c r="I67" s="2"/>
      <c r="J67" s="2"/>
    </row>
    <row r="68" spans="1:10" ht="15.75" thickBot="1" x14ac:dyDescent="0.3">
      <c r="A68" s="101" t="s">
        <v>1024</v>
      </c>
      <c r="B68" s="102" t="s">
        <v>1025</v>
      </c>
      <c r="C68" s="103" t="s">
        <v>1026</v>
      </c>
      <c r="D68" s="103" t="s">
        <v>1027</v>
      </c>
      <c r="E68" s="2"/>
      <c r="F68" s="2"/>
      <c r="G68" s="2"/>
      <c r="H68" s="2"/>
      <c r="I68" s="2"/>
      <c r="J68" s="2"/>
    </row>
    <row r="69" spans="1:10" ht="15.75" thickBot="1" x14ac:dyDescent="0.3">
      <c r="A69" s="101" t="s">
        <v>1028</v>
      </c>
      <c r="B69" s="102" t="s">
        <v>1029</v>
      </c>
      <c r="C69" s="103" t="s">
        <v>1026</v>
      </c>
      <c r="D69" s="103" t="s">
        <v>1027</v>
      </c>
      <c r="E69" s="2"/>
      <c r="F69" s="2"/>
      <c r="G69" s="2"/>
      <c r="H69" s="2"/>
      <c r="I69" s="2"/>
      <c r="J69" s="2"/>
    </row>
    <row r="70" spans="1:10" ht="15.75" thickBot="1" x14ac:dyDescent="0.3">
      <c r="A70" s="101" t="s">
        <v>1030</v>
      </c>
      <c r="B70" s="102" t="s">
        <v>1031</v>
      </c>
      <c r="C70" s="103"/>
      <c r="D70" s="103"/>
      <c r="E70" s="2"/>
      <c r="F70" s="2"/>
      <c r="G70" s="2"/>
      <c r="H70" s="2"/>
      <c r="I70" s="2"/>
      <c r="J70" s="2"/>
    </row>
    <row r="71" spans="1:10" ht="15.75" thickBot="1" x14ac:dyDescent="0.3">
      <c r="A71" s="101" t="s">
        <v>1032</v>
      </c>
      <c r="B71" s="102" t="s">
        <v>1025</v>
      </c>
      <c r="C71" s="103" t="s">
        <v>1026</v>
      </c>
      <c r="D71" s="103" t="s">
        <v>1027</v>
      </c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7" t="s">
        <v>673</v>
      </c>
      <c r="B73" s="7"/>
      <c r="C73" s="7"/>
      <c r="D73" s="7"/>
      <c r="E73" s="7"/>
      <c r="F73" s="7"/>
      <c r="G73" s="7"/>
      <c r="H73" s="7"/>
      <c r="I73" s="7"/>
      <c r="J73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DADOS</vt:lpstr>
      <vt:lpstr>ESTRUTURA DE CAPITAL</vt:lpstr>
      <vt:lpstr>Aval. Fluxo de Caixa Descontado</vt:lpstr>
      <vt:lpstr>Aval. Valor Patrimonial da Ação</vt:lpstr>
      <vt:lpstr>Aval. VWAP</vt:lpstr>
      <vt:lpstr>Projeção DRE</vt:lpstr>
      <vt:lpstr>Proj. Receita e MG Operacional</vt:lpstr>
      <vt:lpstr>Proj. Custos da receita</vt:lpstr>
      <vt:lpstr>Proj. Despesas Operacionais</vt:lpstr>
      <vt:lpstr>Proj. Despesa não operacional</vt:lpstr>
      <vt:lpstr>Proj. Imposto de Renda</vt:lpstr>
      <vt:lpstr>DRE - Ajustado 3º TRI 2025</vt:lpstr>
      <vt:lpstr>Fluxo de caixa 3º TRI 2025</vt:lpstr>
      <vt:lpstr>Bal patrim - Padronizado</vt:lpstr>
      <vt:lpstr>Bal patrim B3 - 3º TRI 2025</vt:lpstr>
      <vt:lpstr>Bal patrim B3 - 3º TRI 2025 Atv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Luiz Silva</cp:lastModifiedBy>
  <cp:lastPrinted>2025-10-16T14:23:38Z</cp:lastPrinted>
  <dcterms:created xsi:type="dcterms:W3CDTF">2013-04-03T15:49:21Z</dcterms:created>
  <dcterms:modified xsi:type="dcterms:W3CDTF">2025-11-16T19:49:54Z</dcterms:modified>
</cp:coreProperties>
</file>