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832" documentId="13_ncr:1_{99FAB03E-89FF-4C0E-BAEA-0D66260E2652}" xr6:coauthVersionLast="47" xr6:coauthVersionMax="47" xr10:uidLastSave="{60FC3CE4-4291-4E8E-B9C5-54FB76479FAA}"/>
  <bookViews>
    <workbookView xWindow="-120" yWindow="-120" windowWidth="29040" windowHeight="15720" activeTab="1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8" i="32" l="1"/>
  <c r="C5" i="43" l="1"/>
  <c r="C5" i="42" l="1"/>
  <c r="C11" i="42" s="1"/>
  <c r="C12" i="42" s="1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C6" i="42" l="1"/>
  <c r="I31" i="39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7" i="32" s="1"/>
  <c r="H39" i="32" s="1"/>
  <c r="H41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R22" i="32" l="1"/>
  <c r="Q26" i="32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<sst xmlns="http://schemas.openxmlformats.org/spreadsheetml/2006/main" count="3096" uniqueCount="1079">
  <si>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</si>
  <si>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</si>
  <si>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</si>
  <si>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</si>
  <si>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</si>
  <si>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</si>
  <si>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</si>
  <si>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</si>
  <si>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</si>
  <si>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</si>
  <si>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</si>
  <si>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</si>
  <si>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</si>
  <si>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</si>
  <si>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</si>
  <si>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</si>
  <si>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</si>
  <si>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</si>
  <si>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</si>
  <si>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</si>
  <si>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</si>
  <si>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</si>
  <si>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</si>
  <si>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</si>
  <si>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</si>
  <si>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</si>
  <si>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</si>
  <si>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</si>
  <si>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</si>
  <si>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</si>
  <si>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</si>
  <si>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</si>
  <si>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</si>
  <si>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</si>
  <si>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</si>
  <si>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</si>
  <si>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</si>
  <si>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</si>
  <si>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</si>
  <si>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</si>
  <si>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</si>
  <si>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</si>
  <si>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</si>
  <si>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</si>
  <si>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</si>
  <si>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</si>
  <si>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</si>
  <si>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</si>
  <si>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</si>
  <si>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</si>
  <si>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</si>
  <si>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</si>
  <si>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</si>
  <si>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</si>
  <si>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</si>
  <si>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</si>
  <si>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</si>
  <si>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</si>
  <si>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</si>
  <si>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</si>
  <si>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</si>
  <si>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</si>
  <si>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</si>
  <si>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</si>
  <si>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</si>
  <si>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</si>
  <si>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</si>
  <si>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</si>
  <si>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</si>
  <si>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</si>
  <si>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</si>
  <si>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</si>
  <si>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</si>
  <si>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</si>
  <si>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</si>
  <si>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</si>
  <si>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</si>
  <si>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</si>
  <si>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</si>
  <si>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</si>
  <si>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</si>
  <si>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</si>
  <si>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</si>
  <si>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</si>
  <si>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</si>
  <si>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</si>
  <si>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</si>
  <si>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</si>
  <si>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</si>
  <si>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</si>
  <si>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</si>
  <si>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</si>
  <si>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</si>
  <si>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</si>
  <si>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</si>
  <si>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</si>
  <si>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</si>
  <si>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</si>
  <si>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</si>
  <si>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</si>
  <si>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</si>
  <si>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</si>
  <si>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</si>
  <si>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</si>
  <si>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</si>
  <si>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</si>
  <si>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</si>
  <si>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</si>
  <si>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</si>
  <si>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</si>
  <si>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</si>
  <si>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</si>
  <si>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</si>
  <si>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</si>
  <si>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</si>
  <si>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</si>
  <si>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</si>
  <si>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</si>
  <si>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</si>
  <si>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</si>
  <si>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</si>
  <si>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</si>
  <si>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</si>
  <si>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</si>
  <si>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</si>
  <si>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</si>
  <si>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</si>
  <si>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</si>
  <si>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</si>
  <si>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</si>
  <si>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</si>
  <si>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</si>
  <si>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</si>
  <si>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</si>
  <si>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</si>
  <si>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</si>
  <si>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</si>
  <si>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</si>
  <si>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</si>
  <si>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</si>
  <si>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</si>
  <si>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</si>
  <si>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</si>
  <si>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</si>
  <si>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</si>
  <si>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</si>
  <si>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</si>
  <si>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</si>
  <si>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</si>
  <si>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</si>
  <si>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</si>
  <si>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</si>
  <si>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</si>
  <si>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</si>
  <si>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</si>
  <si>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</si>
  <si>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</si>
  <si>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</si>
  <si>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</si>
  <si>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</si>
  <si>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</si>
  <si>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</si>
  <si>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</si>
  <si>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</si>
  <si>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</si>
  <si>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</si>
  <si>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</si>
  <si>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</si>
  <si>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</si>
  <si>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</si>
  <si>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</si>
  <si>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</si>
  <si>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</si>
  <si>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</si>
  <si>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</si>
  <si>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</si>
  <si>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</si>
  <si>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</si>
  <si>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</si>
  <si>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</si>
  <si>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</si>
  <si>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</si>
  <si>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</si>
  <si>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</si>
  <si>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</si>
  <si>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</si>
  <si>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</si>
  <si>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</si>
  <si>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</si>
  <si>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</si>
  <si>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</si>
  <si>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</si>
  <si>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</si>
  <si>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</si>
  <si>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</si>
  <si>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</si>
  <si>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</si>
  <si>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</si>
  <si>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</si>
  <si>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</si>
  <si>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</si>
  <si>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</si>
  <si>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</si>
  <si>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</si>
  <si>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</si>
  <si>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</si>
  <si>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</si>
  <si>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</si>
  <si>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</si>
  <si>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</si>
  <si>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</si>
  <si>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</si>
  <si>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</si>
  <si>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</si>
  <si>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</si>
  <si>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</si>
  <si>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</si>
  <si>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</si>
  <si>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</si>
  <si>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</si>
  <si>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</si>
  <si>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</si>
  <si>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</si>
  <si>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</si>
  <si>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</si>
  <si>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</si>
  <si>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</si>
  <si>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</si>
  <si>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</si>
  <si>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</si>
  <si>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</si>
  <si>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</si>
  <si>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</si>
  <si>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</si>
  <si>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</si>
  <si>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</si>
  <si>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</si>
  <si>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</si>
  <si>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</si>
  <si>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</si>
  <si>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</si>
  <si>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</si>
  <si>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</si>
  <si>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</si>
  <si>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</si>
  <si>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</si>
  <si>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</si>
  <si>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</si>
  <si>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</si>
  <si>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</si>
  <si>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</si>
  <si>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</si>
  <si>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</si>
  <si>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</si>
  <si>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</si>
  <si>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</si>
  <si>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</si>
  <si>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</si>
  <si>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</si>
  <si>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</si>
  <si>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</si>
  <si>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</si>
  <si>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</si>
  <si>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</si>
  <si>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</si>
  <si>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</si>
  <si>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</si>
  <si>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</si>
  <si>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</si>
  <si>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</si>
  <si>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</si>
  <si>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</si>
  <si>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</si>
  <si>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</si>
  <si>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</si>
  <si>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</si>
  <si>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</si>
  <si>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</si>
  <si>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</si>
  <si>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</si>
  <si>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</si>
  <si>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</si>
  <si>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</si>
  <si>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</si>
  <si>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</si>
  <si>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</si>
  <si>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</si>
  <si>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</si>
  <si>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</si>
  <si>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</si>
  <si>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</si>
  <si>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</si>
  <si>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</si>
  <si>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</si>
  <si>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</si>
  <si>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</si>
  <si>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</si>
  <si>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</si>
  <si>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</si>
  <si>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</si>
  <si>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</si>
  <si>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</si>
  <si>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</si>
  <si>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</si>
  <si>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</si>
  <si>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</si>
  <si>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</si>
  <si>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</si>
  <si>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</si>
  <si>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</si>
  <si>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</si>
  <si>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</si>
  <si>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</si>
  <si>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</si>
  <si>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</si>
  <si>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</si>
  <si>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</si>
  <si>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</si>
  <si>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</si>
  <si>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</si>
  <si>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</si>
  <si>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</si>
  <si>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</si>
  <si>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</si>
  <si>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</si>
  <si>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</si>
  <si>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</si>
  <si>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</si>
  <si>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</si>
  <si>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</si>
  <si>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</si>
  <si>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</si>
  <si>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</si>
  <si>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</si>
  <si>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</si>
  <si>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</si>
  <si>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</si>
  <si>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</si>
  <si>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</si>
  <si>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</si>
  <si>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</si>
  <si>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</si>
  <si>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</si>
  <si>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</si>
  <si>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</si>
  <si>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</si>
  <si>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</si>
  <si>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</si>
  <si>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</si>
  <si>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</si>
  <si>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</si>
  <si>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</si>
  <si>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</si>
  <si>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</si>
  <si>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</si>
  <si>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</si>
  <si>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</si>
  <si>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</si>
  <si>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</si>
  <si>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</si>
  <si>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</si>
  <si>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</si>
  <si>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</si>
  <si>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</si>
  <si>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</si>
  <si>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</si>
  <si>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</si>
  <si>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</si>
  <si>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</si>
  <si>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</si>
  <si>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</si>
  <si>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</si>
  <si>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</si>
  <si>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</si>
  <si>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</si>
  <si>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</si>
  <si>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</si>
  <si>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</si>
  <si>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</si>
  <si>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</si>
  <si>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</si>
  <si>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</si>
  <si>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</si>
  <si>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</si>
  <si>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</si>
  <si>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</si>
  <si>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</si>
  <si>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</si>
  <si>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</si>
  <si>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</si>
  <si>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</si>
  <si>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</si>
  <si>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</si>
  <si>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</si>
  <si>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</si>
  <si>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</si>
  <si>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</si>
  <si>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</si>
  <si>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</si>
  <si>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</si>
  <si>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</si>
  <si>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</si>
  <si>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</si>
  <si>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</si>
  <si>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</si>
  <si>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</si>
  <si>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</si>
  <si>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</si>
  <si>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</si>
  <si>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</si>
  <si>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</si>
  <si>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</si>
  <si>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</si>
  <si>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</si>
  <si>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</si>
  <si>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</si>
  <si>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</si>
  <si>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</si>
  <si>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</si>
  <si>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</si>
  <si>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</si>
  <si>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</si>
  <si>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</si>
  <si>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</si>
  <si>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</si>
  <si>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</si>
  <si>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</si>
  <si>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</si>
  <si>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</si>
  <si>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</si>
  <si>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</si>
  <si>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</si>
  <si>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</si>
  <si>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</si>
  <si>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</si>
  <si>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</si>
  <si>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</si>
  <si>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</si>
  <si>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</si>
  <si>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</si>
  <si>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</si>
  <si>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</si>
  <si>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</si>
  <si>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</si>
  <si>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</si>
  <si>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</si>
  <si>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</si>
  <si>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</si>
  <si>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</si>
  <si>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</si>
  <si>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</si>
  <si>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</si>
  <si>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</si>
  <si>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</si>
  <si>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</si>
  <si>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</si>
  <si>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</si>
  <si>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</si>
  <si>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</si>
  <si>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</si>
  <si>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</si>
  <si>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</si>
  <si>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</si>
  <si>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</si>
  <si>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</si>
  <si>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</si>
  <si>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</si>
  <si>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</si>
  <si>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</si>
  <si>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</si>
  <si>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</si>
  <si>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</si>
  <si>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</si>
  <si>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</si>
  <si>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</si>
  <si>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</si>
  <si>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</si>
  <si>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</si>
  <si>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</si>
  <si>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</si>
  <si>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</si>
  <si>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</si>
  <si>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</si>
  <si>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</si>
  <si>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</si>
  <si>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</si>
  <si>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</si>
  <si>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</si>
  <si>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</si>
  <si>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</si>
  <si>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</si>
  <si>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</si>
  <si>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</si>
  <si>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</si>
  <si>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</si>
  <si>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</si>
  <si>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</si>
  <si>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</si>
  <si>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</si>
  <si>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</si>
  <si>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</si>
  <si>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</si>
  <si>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</si>
  <si>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</si>
  <si>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</si>
  <si>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</si>
  <si>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</si>
  <si>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</si>
  <si>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</si>
  <si>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</si>
  <si>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</si>
  <si>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</si>
  <si>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</si>
  <si>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</si>
  <si>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</si>
  <si>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</si>
  <si>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</si>
  <si>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</si>
  <si>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</si>
  <si>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</si>
  <si>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</si>
  <si>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</si>
  <si>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</si>
  <si>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</si>
  <si>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</si>
  <si>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</si>
  <si>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</si>
  <si>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</si>
  <si>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</si>
  <si>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</si>
  <si>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</si>
  <si>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</si>
  <si>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</si>
  <si>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</si>
  <si>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</si>
  <si>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</si>
  <si>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</si>
  <si>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</si>
  <si>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</si>
  <si>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</si>
  <si>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</si>
  <si>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</si>
  <si>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</si>
  <si>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</si>
  <si>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</si>
  <si>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</si>
  <si>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</si>
  <si>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</si>
  <si>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</si>
  <si>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</si>
  <si>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</si>
  <si>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</si>
  <si>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</si>
  <si>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</si>
  <si>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</si>
  <si>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</si>
  <si>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</si>
  <si>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</si>
  <si>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</si>
  <si>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</si>
  <si>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</si>
  <si>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</si>
  <si>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</si>
  <si>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</si>
  <si>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</si>
  <si>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</si>
  <si>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</si>
  <si>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</si>
  <si>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</si>
  <si>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</si>
  <si>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</si>
  <si>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</si>
  <si>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</si>
  <si>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</si>
  <si>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</si>
  <si>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</si>
  <si>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</si>
  <si>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</si>
  <si>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</si>
  <si>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</si>
  <si>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</si>
  <si>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</si>
  <si>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</si>
  <si>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</si>
  <si>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</si>
  <si>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</si>
  <si>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</si>
  <si>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</si>
  <si>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</si>
  <si>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</si>
  <si>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</si>
  <si>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</si>
  <si>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</si>
  <si>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</si>
  <si>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</si>
  <si>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</si>
  <si>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</si>
  <si>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</si>
  <si>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</si>
  <si>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</si>
  <si>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</si>
  <si>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</si>
  <si>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</si>
  <si>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</si>
  <si>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</si>
  <si>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</si>
  <si>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</si>
  <si>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</si>
  <si>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</si>
  <si>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</si>
  <si>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</si>
  <si>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</si>
  <si>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</si>
  <si>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</si>
  <si>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</si>
  <si>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</si>
  <si>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</si>
  <si>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</si>
  <si>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</si>
  <si>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</si>
  <si>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</si>
  <si>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</si>
  <si>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</si>
  <si>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</si>
  <si>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</si>
  <si>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</si>
  <si>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</si>
  <si>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</si>
  <si>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</si>
  <si>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</si>
  <si>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</si>
  <si>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</si>
  <si>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</si>
  <si>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</si>
  <si>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</si>
  <si>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</si>
  <si>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</si>
  <si>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</si>
  <si>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</si>
  <si>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</si>
  <si>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</si>
  <si>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</si>
  <si>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</si>
  <si>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</si>
  <si>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</si>
  <si>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</si>
  <si>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</si>
  <si>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</si>
  <si>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</si>
  <si>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</si>
  <si>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</si>
  <si>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</si>
  <si>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</si>
  <si>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</si>
  <si>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</si>
  <si>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</si>
  <si>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</si>
  <si>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</si>
  <si>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</si>
  <si>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</si>
  <si>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</si>
  <si>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</si>
  <si>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</si>
  <si>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</si>
  <si>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</si>
  <si>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</si>
  <si>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</si>
  <si>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</si>
  <si>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</si>
  <si>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</si>
  <si>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</si>
  <si>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</si>
  <si>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</si>
  <si>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</si>
  <si>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</si>
  <si>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</si>
  <si>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</si>
  <si>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</si>
  <si>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</si>
  <si>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</si>
  <si>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</si>
  <si>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</si>
  <si>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</si>
  <si>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</si>
  <si>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</si>
  <si>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</si>
  <si>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</si>
  <si>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</si>
  <si>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</si>
  <si>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</si>
  <si>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</si>
  <si>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</si>
  <si>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</si>
  <si>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</si>
  <si>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</si>
  <si>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</si>
  <si>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</si>
  <si>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</si>
  <si>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</si>
  <si>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</si>
  <si>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</si>
  <si>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</si>
  <si>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</si>
  <si>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</si>
  <si>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</si>
  <si>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</si>
  <si>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</si>
  <si>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</si>
  <si>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</si>
  <si>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</si>
  <si>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</si>
  <si>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</si>
  <si>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</si>
  <si>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</si>
  <si>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</si>
  <si>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</si>
  <si>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</si>
  <si>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</si>
  <si>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</si>
  <si>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</si>
  <si>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</si>
  <si>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</si>
  <si>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</si>
  <si>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</si>
  <si>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</si>
  <si>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</si>
  <si>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</si>
  <si>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</si>
  <si>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</si>
  <si>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</si>
  <si>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</si>
  <si>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</si>
  <si>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</si>
  <si>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</si>
  <si>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</si>
  <si>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</si>
  <si>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</si>
  <si>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</si>
  <si>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</si>
  <si>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</si>
  <si>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</si>
  <si>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</si>
  <si>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</si>
  <si>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</si>
  <si>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</si>
  <si>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</si>
  <si>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</si>
  <si>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</si>
  <si>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</si>
  <si>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</si>
  <si>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</si>
  <si>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</si>
  <si>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</si>
  <si>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</si>
  <si>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</si>
  <si>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</si>
  <si>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</si>
  <si>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</si>
  <si>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</si>
  <si>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</si>
  <si>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</si>
  <si>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</si>
  <si>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</si>
  <si>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</si>
  <si>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</si>
  <si>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</si>
  <si>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</si>
  <si>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</si>
  <si>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</si>
  <si>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</si>
  <si>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</si>
  <si>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</si>
  <si>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</si>
  <si>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</si>
  <si>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</si>
  <si>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</si>
  <si>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</si>
  <si>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</si>
  <si>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</si>
  <si>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</si>
  <si>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</si>
  <si>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</si>
  <si>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</si>
  <si>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</si>
  <si>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</si>
  <si>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</si>
  <si>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</si>
  <si>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</si>
  <si>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</si>
  <si>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</si>
  <si>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</si>
  <si>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</si>
  <si>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</si>
  <si>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</si>
  <si>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</si>
  <si>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</si>
  <si>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</si>
  <si>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</si>
  <si>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</si>
  <si>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</si>
  <si>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</si>
  <si>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</si>
  <si>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</si>
  <si>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</si>
  <si>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</si>
  <si>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</si>
  <si>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</si>
  <si>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</si>
  <si>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</si>
  <si>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</si>
  <si>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</si>
  <si>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</si>
  <si>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</si>
  <si>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</si>
  <si>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</si>
  <si>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</si>
  <si>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</si>
  <si>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</si>
  <si>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</si>
  <si>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</si>
  <si>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</si>
  <si>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</si>
  <si>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</si>
  <si>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</si>
  <si>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</si>
  <si>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</si>
  <si>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</si>
  <si>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</si>
  <si>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</si>
  <si>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</si>
  <si>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</si>
  <si>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</si>
  <si>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</si>
  <si>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</si>
  <si>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</si>
  <si>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</si>
  <si>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</si>
  <si>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</si>
  <si>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</si>
  <si>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</si>
  <si>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</si>
  <si>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</si>
  <si>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</si>
  <si>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</si>
  <si>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</si>
  <si>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</si>
  <si>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</si>
  <si>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</si>
  <si>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</si>
  <si>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</si>
  <si>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</si>
  <si>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</si>
  <si>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</si>
  <si>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</si>
  <si>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</si>
  <si>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</si>
  <si>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</si>
  <si>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</si>
  <si>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</si>
  <si>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</si>
  <si>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</si>
  <si>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</si>
  <si>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</si>
  <si>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</si>
  <si>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</si>
  <si>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</si>
  <si>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</si>
  <si>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</si>
  <si>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</si>
  <si>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</si>
  <si>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</si>
  <si>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</si>
  <si>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</si>
  <si>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</si>
  <si>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</si>
  <si>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</si>
  <si>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</si>
  <si>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</si>
  <si>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</si>
  <si>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</si>
  <si>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</si>
  <si>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</si>
  <si>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</si>
  <si>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</si>
  <si>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</si>
  <si>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</si>
  <si>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</si>
  <si>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</si>
  <si>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</si>
  <si>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</si>
  <si>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</si>
  <si>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</si>
  <si>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</si>
  <si>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</si>
  <si>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</si>
  <si>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</si>
  <si>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</si>
  <si>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</si>
  <si>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</si>
  <si>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</si>
  <si>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</si>
  <si>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</si>
  <si>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</si>
  <si>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</si>
  <si>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</si>
  <si>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</si>
  <si>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</si>
  <si>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</si>
  <si>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</si>
  <si>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</si>
  <si>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</si>
  <si>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</si>
  <si>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</si>
  <si>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</si>
  <si>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</si>
  <si>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</si>
  <si>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</si>
  <si>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</si>
  <si>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</si>
  <si>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</si>
  <si>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</si>
  <si>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</si>
  <si>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</si>
  <si>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</si>
  <si>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</si>
  <si>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</si>
  <si>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</si>
  <si>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</si>
  <si>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</si>
  <si>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</si>
  <si>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</si>
  <si>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</si>
  <si>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</si>
  <si>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</si>
  <si>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</si>
  <si>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</si>
  <si>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</si>
  <si>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</si>
  <si>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</si>
  <si>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</si>
  <si>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</si>
  <si>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</si>
  <si>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</si>
  <si>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</si>
  <si>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</si>
  <si>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</si>
  <si>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</si>
  <si>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</si>
  <si>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</si>
  <si>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</si>
  <si>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</si>
  <si>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</si>
  <si>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</si>
  <si>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</si>
  <si>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</si>
  <si>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</si>
  <si>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</si>
  <si>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</si>
  <si>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</si>
  <si>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</si>
  <si>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</si>
  <si>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</si>
  <si>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</si>
  <si>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</si>
  <si>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</si>
  <si>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</si>
  <si>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</si>
  <si>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</si>
  <si>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</si>
  <si>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</si>
  <si>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</si>
  <si>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</si>
  <si>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</si>
  <si>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</si>
  <si>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</si>
  <si>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</si>
  <si>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</si>
  <si>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</si>
  <si>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</si>
  <si>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</si>
  <si>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</si>
  <si>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</si>
  <si>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</si>
  <si>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</si>
  <si>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</si>
  <si>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</si>
  <si>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</si>
  <si>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</si>
  <si>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</si>
  <si>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</si>
  <si>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</si>
  <si>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</si>
  <si>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</si>
  <si>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</si>
  <si>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</si>
  <si>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</si>
  <si>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</si>
  <si>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</si>
  <si>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</si>
  <si>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</si>
  <si>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</si>
  <si>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</si>
  <si>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</si>
  <si>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</si>
  <si>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</si>
  <si>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</si>
  <si>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</si>
  <si>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</si>
  <si>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</si>
  <si>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</si>
  <si>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</si>
  <si>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</si>
  <si>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</si>
  <si>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</si>
  <si>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</si>
  <si>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</si>
  <si>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</si>
  <si>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</si>
  <si>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</si>
  <si>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</si>
  <si>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</si>
  <si>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</si>
  <si>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</si>
  <si>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</si>
  <si>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</si>
  <si>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</si>
  <si>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</si>
  <si>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</si>
  <si>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</si>
  <si>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</si>
  <si>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</si>
  <si>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</si>
  <si>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</si>
  <si>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</si>
  <si>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</si>
  <si>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</si>
  <si>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</si>
  <si>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</si>
  <si>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</si>
  <si>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</si>
  <si>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</si>
  <si>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</si>
  <si>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</si>
  <si>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</si>
  <si>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</si>
  <si>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</si>
  <si>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</si>
  <si>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</si>
  <si>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</si>
  <si>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</si>
  <si>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</si>
  <si>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</si>
  <si>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</si>
  <si>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</si>
  <si>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</si>
  <si>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</si>
  <si>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</si>
  <si>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</si>
  <si>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</si>
  <si>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</si>
  <si>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</si>
  <si>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</si>
  <si>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</si>
  <si>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</si>
  <si>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</si>
  <si>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Volume</t>
  </si>
  <si>
    <t>PERÍODO</t>
  </si>
  <si>
    <t>Preço médio por volume negoc.</t>
  </si>
  <si>
    <t>3º tri. 2025 (mi.)</t>
  </si>
  <si>
    <t>Price Buckets</t>
  </si>
  <si>
    <t>Trades</t>
  </si>
  <si>
    <t>Bid</t>
  </si>
  <si>
    <t>Mid</t>
  </si>
  <si>
    <t>Ask</t>
  </si>
  <si>
    <t>Totals</t>
  </si>
  <si>
    <t>Período: 04/11/24 até 30/10/25</t>
  </si>
  <si>
    <t>04/11/24 até 30/10/25</t>
  </si>
  <si>
    <t>Dívida Total da Empresa</t>
  </si>
  <si>
    <t>PL / Market Captalization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</si>
</sst>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#,##0.00_ ;[Red]\-#,##0.00\ "/>
    <numFmt numFmtId="166" formatCode="0.0"/>
    <numFmt numFmtId="167" formatCode="#,##0.0000"/>
    <numFmt numFmtId="168" formatCode="#,##0.000"/>
    <numFmt numFmtId="169" formatCode="0.000"/>
    <numFmt numFmtId="170" formatCode="_-[$R$-416]\ * #,##0.00_-;\-[$R$-416]\ * #,##0.00_-;_-[$R$-416]\ * &quot;-&quot;??_-;_-@_-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2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5" fontId="0" fillId="38" borderId="0" xfId="0" applyNumberFormat="1" applyFill="1"/>
    <xf numFmtId="43" fontId="0" fillId="0" borderId="22" xfId="63" applyFont="1" applyBorder="1"/>
    <xf numFmtId="165" fontId="0" fillId="0" borderId="0" xfId="0" applyNumberFormat="1"/>
    <xf numFmtId="0" fontId="0" fillId="0" borderId="15" xfId="0" applyBorder="1"/>
    <xf numFmtId="165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5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6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7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8" fontId="34" fillId="37" borderId="2" xfId="61" applyNumberFormat="1" applyFont="1" applyFill="1" applyBorder="1" applyAlignment="1" applyProtection="1">
      <alignment horizontal="right"/>
    </xf>
    <xf numFmtId="168" fontId="34" fillId="37" borderId="2" xfId="62" applyNumberFormat="1" applyFont="1" applyFill="1" applyBorder="1" applyAlignment="1" applyProtection="1">
      <alignment horizontal="right"/>
    </xf>
    <xf numFmtId="168" fontId="1" fillId="34" borderId="2" xfId="53" applyNumberFormat="1" applyFont="1" applyFill="1" applyBorder="1" applyAlignment="1" applyProtection="1">
      <alignment horizontal="right"/>
    </xf>
    <xf numFmtId="168" fontId="1" fillId="35" borderId="2" xfId="54" applyNumberFormat="1" applyFont="1" applyFill="1" applyBorder="1" applyAlignment="1" applyProtection="1">
      <alignment horizontal="right"/>
    </xf>
    <xf numFmtId="168" fontId="8" fillId="37" borderId="2" xfId="53" applyNumberFormat="1" applyFont="1" applyFill="1" applyBorder="1" applyAlignment="1" applyProtection="1">
      <alignment horizontal="right"/>
    </xf>
    <xf numFmtId="168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8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69" fontId="0" fillId="37" borderId="20" xfId="0" applyNumberFormat="1" applyFill="1" applyBorder="1"/>
    <xf numFmtId="164" fontId="27" fillId="37" borderId="0" xfId="0" applyNumberFormat="1" applyFont="1" applyFill="1"/>
    <xf numFmtId="168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69" fontId="6" fillId="34" borderId="0" xfId="31" applyNumberFormat="1" applyFont="1" applyFill="1" applyAlignment="1">
      <alignment horizontal="center"/>
    </xf>
    <xf numFmtId="169" fontId="32" fillId="43" borderId="2" xfId="56" applyNumberFormat="1" applyFont="1" applyFill="1" applyBorder="1" applyAlignment="1" applyProtection="1">
      <alignment horizontal="right"/>
    </xf>
    <xf numFmtId="169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170" fontId="0" fillId="0" borderId="0" xfId="0" applyNumberFormat="1"/>
    <xf numFmtId="44" fontId="0" fillId="39" borderId="0" xfId="65" applyNumberFormat="1" applyFont="1" applyFill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L16" sqref="L16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415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33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403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409</v>
      </c>
      <c r="B6" s="34" t="s">
        <v>405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408</v>
      </c>
      <c r="B7" s="43" t="s">
        <v>406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416</v>
      </c>
      <c r="B8" s="40" t="s">
        <v>417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409</v>
      </c>
      <c r="B9" s="44" t="s">
        <v>407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404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418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409</v>
      </c>
      <c r="B14" s="34" t="s">
        <v>410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408</v>
      </c>
      <c r="B15" s="43" t="s">
        <v>411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416</v>
      </c>
      <c r="B16" s="40" t="s">
        <v>402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409</v>
      </c>
      <c r="B17" s="34" t="s">
        <v>412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409</v>
      </c>
      <c r="B18" s="44" t="s">
        <v>413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404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416</v>
      </c>
      <c r="B21" s="70" t="s">
        <v>414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419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409</v>
      </c>
      <c r="B26" s="34" t="s">
        <v>421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408</v>
      </c>
      <c r="B27" s="44" t="s">
        <v>422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416</v>
      </c>
      <c r="B28" s="49" t="s">
        <v>420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416</v>
      </c>
      <c r="B30" s="58" t="s">
        <v>424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423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425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426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427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428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431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49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429</v>
      </c>
      <c r="C42" s="48">
        <f>EXP(C43)-1</f>
        <v>0.13442760846026358</v>
      </c>
      <c r="D42" s="63" t="s">
        <v>438</v>
      </c>
      <c r="E42" s="63" t="s">
        <v>438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430</v>
      </c>
      <c r="C43" s="57">
        <f>AVERAGE(F43:M43)</f>
        <v>0.12612821399980628</v>
      </c>
      <c r="D43" s="63" t="s">
        <v>438</v>
      </c>
      <c r="E43" s="63" t="s">
        <v>438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432</v>
      </c>
      <c r="C45" s="61">
        <v>0.151</v>
      </c>
    </row>
    <row r="46" spans="2:18" x14ac:dyDescent="0.25">
      <c r="R46" s="26"/>
    </row>
    <row r="47" spans="2:18" x14ac:dyDescent="0.25">
      <c r="B47" s="63" t="s">
        <v>439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tabSelected="1" workbookViewId="0">
      <selection activeCell="F17" sqref="F17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415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1068</v>
      </c>
      <c r="O1" s="27" t="s">
        <v>878</v>
      </c>
      <c r="P1" s="27" t="s">
        <v>879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825</v>
      </c>
      <c r="O2" s="5" t="s">
        <v>825</v>
      </c>
      <c r="P2" s="5" t="s">
        <v>825</v>
      </c>
    </row>
    <row r="3" spans="1:17" ht="15.75" thickBot="1" x14ac:dyDescent="0.3">
      <c r="L3" s="230"/>
    </row>
    <row r="4" spans="1:17" ht="15.75" thickBot="1" x14ac:dyDescent="0.3">
      <c r="B4" s="45" t="s">
        <v>403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416</v>
      </c>
      <c r="B8" s="34" t="s">
        <v>881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19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679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456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457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459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821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461</v>
      </c>
      <c r="C20" s="111">
        <f>C26+(C27*(C28-C26))</f>
        <v>0.15149278299999999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460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674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824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676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823</v>
      </c>
      <c r="C27" s="115">
        <v>7.6999999999999999E-2</v>
      </c>
      <c r="D27" s="239"/>
      <c r="L27" s="230"/>
      <c r="U27" s="26"/>
    </row>
    <row r="28" spans="1:21" ht="15.75" thickBot="1" x14ac:dyDescent="0.3">
      <c r="B28" s="116" t="s">
        <v>675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822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433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0.14481112662012649</v>
      </c>
    </row>
    <row r="32" spans="1:21" x14ac:dyDescent="0.25">
      <c r="B32" s="98" t="s">
        <v>678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2"/>
  <sheetViews>
    <sheetView showGridLines="0" workbookViewId="0">
      <pane xSplit="2" topLeftCell="D1" activePane="topRight" state="frozen"/>
      <selection pane="topRight" activeCell="J26" sqref="J26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449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722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1039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724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812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433</v>
      </c>
      <c r="C7" s="62"/>
      <c r="D7" s="62"/>
      <c r="E7" s="62"/>
      <c r="F7" s="62"/>
      <c r="G7" s="62"/>
      <c r="H7" s="66">
        <v>0.151</v>
      </c>
      <c r="I7" s="67">
        <f>'ESTRUTURA DE CAPITAL'!L31</f>
        <v>0.14481112662012649</v>
      </c>
      <c r="J7" s="26">
        <f>I7</f>
        <v>0.14481112662012649</v>
      </c>
      <c r="K7" s="26">
        <f>J7</f>
        <v>0.14481112662012649</v>
      </c>
      <c r="L7" s="26">
        <f>K7</f>
        <v>0.14481112662012649</v>
      </c>
      <c r="M7" s="26">
        <f>L7</f>
        <v>0.14481112662012649</v>
      </c>
      <c r="N7" s="26">
        <f>M7</f>
        <v>0.14481112662012649</v>
      </c>
      <c r="O7" s="26">
        <f>N7</f>
        <v>0.14481112662012649</v>
      </c>
      <c r="P7" s="26">
        <f>O7</f>
        <v>0.14481112662012649</v>
      </c>
      <c r="Q7" s="26">
        <f>P7</f>
        <v>0.14481112662012649</v>
      </c>
      <c r="R7" s="26">
        <f>Q7</f>
        <v>0.14481112662012649</v>
      </c>
    </row>
    <row r="8" spans="1:18 16381:16381" x14ac:dyDescent="0.25">
      <c r="B8" s="29" t="s">
        <v>423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434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440</v>
      </c>
    </row>
    <row r="10" spans="1:18 16381:16381" x14ac:dyDescent="0.25">
      <c r="B10" s="29" t="s">
        <v>435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404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409</v>
      </c>
      <c r="B14" s="29" t="s">
        <v>818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409</v>
      </c>
      <c r="B15" s="29" t="s">
        <v>725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408</v>
      </c>
      <c r="B16" s="69" t="s">
        <v>436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416</v>
      </c>
      <c r="B17" s="47" t="s">
        <v>437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441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1054</v>
      </c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248.04993199741301</v>
      </c>
    </row>
    <row r="22" spans="1:18" x14ac:dyDescent="0.25">
      <c r="A22" t="s">
        <v>443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283.97032210800415</v>
      </c>
    </row>
    <row r="24" spans="1:18" x14ac:dyDescent="0.25">
      <c r="A24" s="75" t="s">
        <v>450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0.87350653461269345</v>
      </c>
      <c r="J24" s="75">
        <f t="shared" si="19"/>
        <v>0.76301366601107656</v>
      </c>
      <c r="K24" s="75">
        <f t="shared" si="19"/>
        <v>0.66649742325946248</v>
      </c>
      <c r="L24" s="75">
        <f t="shared" si="19"/>
        <v>0.58218985451966265</v>
      </c>
      <c r="M24" s="75">
        <f t="shared" si="19"/>
        <v>0.50854664230813862</v>
      </c>
      <c r="N24" s="75">
        <f t="shared" si="19"/>
        <v>0.44421881521150308</v>
      </c>
      <c r="O24" s="75">
        <f t="shared" si="19"/>
        <v>0.3880280378851565</v>
      </c>
      <c r="P24" s="75">
        <f t="shared" si="19"/>
        <v>0.33894502670562593</v>
      </c>
      <c r="Q24" s="75">
        <f t="shared" si="19"/>
        <v>0.29607069570183814</v>
      </c>
      <c r="R24" s="75">
        <f t="shared" si="19"/>
        <v>0.25861968740288188</v>
      </c>
    </row>
    <row r="26" spans="1:18" x14ac:dyDescent="0.25">
      <c r="A26" s="81" t="s">
        <v>728</v>
      </c>
      <c r="B26" s="81"/>
      <c r="C26" s="81"/>
      <c r="D26" s="82"/>
      <c r="E26" s="82"/>
      <c r="F26" s="82"/>
      <c r="G26" s="82"/>
      <c r="H26" s="82">
        <f>SUMPRODUCT(I22:$R22,I24:$R24)/H24</f>
        <v>249.83570725477455</v>
      </c>
      <c r="I26" s="82">
        <f>SUMPRODUCT(J22:$R22,J24:$R24)/I24</f>
        <v>253.20529651281649</v>
      </c>
      <c r="J26" s="82">
        <f>SUMPRODUCT(K22:$R22,K24:$R24)/J24</f>
        <v>255.36000905298371</v>
      </c>
      <c r="K26" s="82">
        <f>SUMPRODUCT(L22:$R22,L24:$R24)/K24</f>
        <v>256.37351707992445</v>
      </c>
      <c r="L26" s="82">
        <f>SUMPRODUCT(M22:$R22,M24:$R24)/L24</f>
        <v>256.29351765699164</v>
      </c>
      <c r="M26" s="82">
        <f>SUMPRODUCT(N22:$R22,N24:$R24)/M24</f>
        <v>255.25887011679697</v>
      </c>
      <c r="N26" s="82">
        <f>SUMPRODUCT(O22:$R22,O24:$R24)/N24</f>
        <v>253.51679126444546</v>
      </c>
      <c r="O26" s="82">
        <f>SUMPRODUCT(P22:$R22,P24:$R24)/O24</f>
        <v>251.41242322094982</v>
      </c>
      <c r="P26" s="82">
        <f>SUMPRODUCT(Q22:$R22,Q24:$R24)/P24</f>
        <v>249.40230086388948</v>
      </c>
      <c r="Q26" s="82">
        <f>SUMPRODUCT(R22:$R22,R24:$R24)/Q24</f>
        <v>248.04993199741304</v>
      </c>
      <c r="R26" s="82">
        <f>R21</f>
        <v>248.04993199741301</v>
      </c>
    </row>
    <row r="27" spans="1:18" x14ac:dyDescent="0.25">
      <c r="A27" s="29" t="s">
        <v>445</v>
      </c>
      <c r="I27" s="83">
        <f>I26/H26-1</f>
        <v>1.3487220442055303E-2</v>
      </c>
      <c r="J27" s="83">
        <f t="shared" ref="J27:R27" si="20">J26/I26-1</f>
        <v>8.5097451350435449E-3</v>
      </c>
      <c r="K27" s="83">
        <f t="shared" si="20"/>
        <v>3.9689379347196407E-3</v>
      </c>
      <c r="L27" s="83">
        <f t="shared" si="20"/>
        <v>-3.1204245993887714E-4</v>
      </c>
      <c r="M27" s="83">
        <f t="shared" si="20"/>
        <v>-4.0369633600307875E-3</v>
      </c>
      <c r="N27" s="83">
        <f t="shared" si="20"/>
        <v>-6.8247534416899791E-3</v>
      </c>
      <c r="O27" s="83">
        <f t="shared" si="20"/>
        <v>-8.3007047896112018E-3</v>
      </c>
      <c r="P27" s="83">
        <f t="shared" si="20"/>
        <v>-7.9953183351395563E-3</v>
      </c>
      <c r="Q27" s="83">
        <f t="shared" si="20"/>
        <v>-5.4224394153223887E-3</v>
      </c>
      <c r="R27" s="83">
        <f t="shared" si="20"/>
        <v>0</v>
      </c>
    </row>
    <row r="30" spans="1:18" x14ac:dyDescent="0.25">
      <c r="A30" t="s">
        <v>446</v>
      </c>
      <c r="I30" s="51">
        <f>H12*(I8-I7)</f>
        <v>-13.172620867357338</v>
      </c>
      <c r="J30" s="51">
        <f>I12*(J8-J7)</f>
        <v>-11.469790132778487</v>
      </c>
      <c r="K30" s="51">
        <f t="shared" ref="K30:Q30" si="21">J12*(K8-K7)</f>
        <v>-10.016559269067882</v>
      </c>
      <c r="L30" s="51">
        <f t="shared" si="21"/>
        <v>-8.7762845799744795</v>
      </c>
      <c r="M30" s="51">
        <f t="shared" si="21"/>
        <v>-7.8332212692764553</v>
      </c>
      <c r="N30" s="51">
        <f t="shared" si="21"/>
        <v>-7.2756184330699849</v>
      </c>
      <c r="O30" s="51">
        <f t="shared" si="21"/>
        <v>-7.1656016431960046</v>
      </c>
      <c r="P30" s="51">
        <f t="shared" si="21"/>
        <v>-7.5645832368332444</v>
      </c>
      <c r="Q30" s="51">
        <f t="shared" si="21"/>
        <v>-8.5134248105873738</v>
      </c>
      <c r="R30" s="51">
        <f>Q12*(R8-R7)</f>
        <v>-10.061631736224243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-69.48106800258698</v>
      </c>
    </row>
    <row r="33" spans="1:18" x14ac:dyDescent="0.25">
      <c r="A33" t="s">
        <v>447</v>
      </c>
      <c r="H33" s="74">
        <f>(SUMPRODUCT(I30:$R30,I24:$R24)+$R$31*$R$24)/H24</f>
        <v>-67.695292745225558</v>
      </c>
      <c r="I33" s="74">
        <f>(SUMPRODUCT(J30:$R30,J24:$R24)+$R$31*$R$24)/I24</f>
        <v>-64.325703487183588</v>
      </c>
      <c r="J33" s="74">
        <f>(SUMPRODUCT(K30:$R30,K24:$R24)+$R$31*$R$24)/J24</f>
        <v>-62.170990947016364</v>
      </c>
      <c r="K33" s="74">
        <f>(SUMPRODUCT(L30:$R30,L24:$R24)+$R$31*$R$24)/K24</f>
        <v>-61.157482920075601</v>
      </c>
      <c r="L33" s="74">
        <f>(SUMPRODUCT(M30:$R30,M24:$R24)+$R$31*$R$24)/L24</f>
        <v>-61.237482343008416</v>
      </c>
      <c r="M33" s="74">
        <f>(SUMPRODUCT(N30:$R30,N24:$R24)+$R$31*$R$24)/M24</f>
        <v>-62.272129883203107</v>
      </c>
      <c r="N33" s="74">
        <f>(SUMPRODUCT(O30:$R30,O24:$R24)+$R$31*$R$24)/N24</f>
        <v>-64.014208735554604</v>
      </c>
      <c r="O33" s="74">
        <f>(SUMPRODUCT(P30:$R30,P24:$R24)+$R$31*$R$24)/O24</f>
        <v>-66.118576779050201</v>
      </c>
      <c r="P33" s="74">
        <f>(SUMPRODUCT(Q30:$R30,Q24:$R24)+$R$31*$R$24)/P24</f>
        <v>-68.128699136110541</v>
      </c>
      <c r="Q33" s="74">
        <f>(SUMPRODUCT(R30:$R30,R24:$R24)+$R$31*$R$24)/Q24</f>
        <v>-69.48106800258698</v>
      </c>
      <c r="R33" s="74">
        <f>(SUMPRODUCT($R30:$R30,$R24:$R24)+$R$31*$R$24)/R24</f>
        <v>-79.542699738811223</v>
      </c>
    </row>
    <row r="34" spans="1:18" x14ac:dyDescent="0.25">
      <c r="A34" s="39" t="s">
        <v>404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451</v>
      </c>
      <c r="B35" s="81"/>
      <c r="C35" s="81"/>
      <c r="D35" s="81"/>
      <c r="E35" s="81"/>
      <c r="F35" s="81"/>
      <c r="G35" s="81"/>
      <c r="H35" s="86">
        <f>SUM(H33:H34)</f>
        <v>249.83570725477443</v>
      </c>
      <c r="I35" s="86">
        <f t="shared" ref="I35:Q35" si="23">SUM(I33:I34)</f>
        <v>253.2052965128164</v>
      </c>
      <c r="J35" s="86">
        <f t="shared" si="23"/>
        <v>255.36000905298363</v>
      </c>
      <c r="K35" s="86">
        <f t="shared" si="23"/>
        <v>256.3735170799244</v>
      </c>
      <c r="L35" s="86">
        <f t="shared" si="23"/>
        <v>256.29351765699158</v>
      </c>
      <c r="M35" s="86">
        <f t="shared" si="23"/>
        <v>255.25887011679691</v>
      </c>
      <c r="N35" s="86">
        <f t="shared" si="23"/>
        <v>253.5167912644454</v>
      </c>
      <c r="O35" s="86">
        <f t="shared" si="23"/>
        <v>251.41242322094979</v>
      </c>
      <c r="P35" s="86">
        <f t="shared" si="23"/>
        <v>249.40230086388948</v>
      </c>
      <c r="Q35" s="86">
        <f t="shared" si="23"/>
        <v>248.04993199741301</v>
      </c>
      <c r="R35" s="86">
        <f>SUM(R33:R34)</f>
        <v>237.98830026118878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766</v>
      </c>
      <c r="B37" s="81"/>
      <c r="C37" s="81"/>
      <c r="D37" s="81"/>
      <c r="E37" s="81"/>
      <c r="F37" s="81"/>
      <c r="G37" s="81"/>
      <c r="H37" s="195">
        <f>I35*(10^6)</f>
        <v>253205296.5128164</v>
      </c>
    </row>
    <row r="38" spans="1:18" x14ac:dyDescent="0.25">
      <c r="A38" s="81" t="s">
        <v>1077</v>
      </c>
      <c r="B38" s="81"/>
      <c r="C38" s="81"/>
      <c r="D38" s="81"/>
      <c r="E38" s="81"/>
      <c r="F38" s="81"/>
      <c r="G38" s="81"/>
      <c r="H38" s="195">
        <f>SUM(DADOS!M16:M17)*(10^6)</f>
        <v>64619000</v>
      </c>
    </row>
    <row r="39" spans="1:18" x14ac:dyDescent="0.25">
      <c r="A39" s="81" t="s">
        <v>1078</v>
      </c>
      <c r="B39" s="81"/>
      <c r="C39" s="81"/>
      <c r="D39" s="81"/>
      <c r="E39" s="81"/>
      <c r="F39" s="81"/>
      <c r="G39" s="81"/>
      <c r="H39" s="195">
        <f>H37-H38</f>
        <v>188586296.5128164</v>
      </c>
    </row>
    <row r="40" spans="1:18" x14ac:dyDescent="0.25">
      <c r="A40" s="81" t="s">
        <v>1053</v>
      </c>
      <c r="B40" s="81"/>
      <c r="C40" s="81"/>
      <c r="D40" s="81"/>
      <c r="E40" s="81"/>
      <c r="F40" s="81"/>
      <c r="G40" s="81"/>
      <c r="H40" s="195">
        <v>63084700</v>
      </c>
      <c r="J40" s="141"/>
    </row>
    <row r="41" spans="1:18" x14ac:dyDescent="0.25">
      <c r="A41" s="81" t="s">
        <v>765</v>
      </c>
      <c r="B41" s="81"/>
      <c r="C41" s="81"/>
      <c r="D41" s="81"/>
      <c r="E41" s="81"/>
      <c r="F41" s="81"/>
      <c r="G41" s="81"/>
      <c r="H41" s="277">
        <f>H39/H40</f>
        <v>2.9894141766992059</v>
      </c>
    </row>
    <row r="42" spans="1:18" x14ac:dyDescent="0.25">
      <c r="J42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C6" sqref="C6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8" t="s">
        <v>1057</v>
      </c>
      <c r="C1" s="279"/>
      <c r="D1" s="279"/>
      <c r="E1" s="279"/>
      <c r="F1" s="280"/>
    </row>
    <row r="2" spans="2:6" x14ac:dyDescent="0.25">
      <c r="B2" s="114"/>
      <c r="C2" s="32"/>
      <c r="D2" s="32"/>
      <c r="E2" s="32"/>
      <c r="F2" s="115"/>
    </row>
    <row r="3" spans="2:6" x14ac:dyDescent="0.25">
      <c r="B3" s="281" t="s">
        <v>1055</v>
      </c>
      <c r="C3" s="282"/>
      <c r="D3" s="282"/>
      <c r="E3" s="282"/>
      <c r="F3" s="283"/>
    </row>
    <row r="4" spans="2:6" x14ac:dyDescent="0.25">
      <c r="B4" s="164" t="s">
        <v>1056</v>
      </c>
      <c r="C4" s="267">
        <v>255393000</v>
      </c>
      <c r="D4" s="32"/>
      <c r="E4" s="32"/>
      <c r="F4" s="115"/>
    </row>
    <row r="5" spans="2:6" x14ac:dyDescent="0.25">
      <c r="B5" s="164" t="s">
        <v>1058</v>
      </c>
      <c r="C5" s="268">
        <f>'Aval. Fluxo de Caixa Descontado'!H40</f>
        <v>63084700</v>
      </c>
      <c r="D5" s="32"/>
      <c r="E5" s="32"/>
      <c r="F5" s="115"/>
    </row>
    <row r="6" spans="2:6" ht="15.75" thickBot="1" x14ac:dyDescent="0.3">
      <c r="B6" s="269" t="s">
        <v>1059</v>
      </c>
      <c r="C6" s="270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8" t="s">
        <v>1060</v>
      </c>
      <c r="C9" s="279"/>
      <c r="D9" s="279"/>
      <c r="E9" s="279"/>
      <c r="F9" s="280"/>
    </row>
    <row r="10" spans="2:6" x14ac:dyDescent="0.25">
      <c r="B10" s="164" t="s">
        <v>1061</v>
      </c>
      <c r="C10" s="267">
        <v>7.22</v>
      </c>
      <c r="D10" s="32"/>
      <c r="E10" s="32"/>
      <c r="F10" s="115"/>
    </row>
    <row r="11" spans="2:6" x14ac:dyDescent="0.25">
      <c r="B11" s="272" t="s">
        <v>1059</v>
      </c>
      <c r="C11" s="271">
        <f>C4/C5</f>
        <v>4.0484142747766096</v>
      </c>
      <c r="D11" s="32"/>
      <c r="E11" s="32"/>
      <c r="F11" s="115"/>
    </row>
    <row r="12" spans="2:6" ht="15.75" thickBot="1" x14ac:dyDescent="0.3">
      <c r="B12" s="269" t="s">
        <v>1062</v>
      </c>
      <c r="C12" s="273">
        <f>C10/C11</f>
        <v>1.7834143222406253</v>
      </c>
      <c r="D12" s="169"/>
      <c r="E12" s="169"/>
      <c r="F12" s="170"/>
    </row>
    <row r="14" spans="2:6" x14ac:dyDescent="0.25">
      <c r="B14" s="29" t="s">
        <v>1063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V96"/>
  <sheetViews>
    <sheetView showGridLines="0" workbookViewId="0">
      <selection activeCell="V3" sqref="V3"/>
    </sheetView>
  </sheetViews>
  <sheetFormatPr defaultRowHeight="15" x14ac:dyDescent="0.25"/>
  <cols>
    <col min="2" max="2" width="32.140625" bestFit="1" customWidth="1"/>
    <col min="3" max="3" width="18" bestFit="1" customWidth="1"/>
    <col min="15" max="16" width="9.140625" bestFit="1" customWidth="1"/>
  </cols>
  <sheetData>
    <row r="1" spans="2:22" x14ac:dyDescent="0.25">
      <c r="O1" s="274" t="s">
        <v>1069</v>
      </c>
      <c r="P1" s="274" t="s">
        <v>1070</v>
      </c>
      <c r="Q1" s="274" t="s">
        <v>1065</v>
      </c>
      <c r="R1" s="274" t="s">
        <v>1071</v>
      </c>
      <c r="S1" s="274" t="s">
        <v>1072</v>
      </c>
      <c r="T1" s="274" t="s">
        <v>1073</v>
      </c>
      <c r="V1" s="275" t="s">
        <v>1066</v>
      </c>
    </row>
    <row r="2" spans="2:22" ht="15.75" thickBot="1" x14ac:dyDescent="0.3">
      <c r="O2" s="276">
        <v>7.98</v>
      </c>
      <c r="P2">
        <v>4</v>
      </c>
      <c r="Q2">
        <v>700</v>
      </c>
      <c r="R2">
        <v>0</v>
      </c>
      <c r="S2">
        <v>0</v>
      </c>
      <c r="T2">
        <v>700</v>
      </c>
      <c r="V2" t="s">
        <v>1076</v>
      </c>
    </row>
    <row r="3" spans="2:22" x14ac:dyDescent="0.25">
      <c r="B3" s="278" t="s">
        <v>1064</v>
      </c>
      <c r="C3" s="279"/>
      <c r="D3" s="279"/>
      <c r="E3" s="279"/>
      <c r="F3" s="280"/>
      <c r="O3" s="276">
        <v>7.8</v>
      </c>
      <c r="P3">
        <v>36</v>
      </c>
      <c r="Q3">
        <v>3600</v>
      </c>
      <c r="R3">
        <v>0</v>
      </c>
      <c r="S3">
        <v>0</v>
      </c>
      <c r="T3">
        <v>3600</v>
      </c>
    </row>
    <row r="4" spans="2:22" x14ac:dyDescent="0.25">
      <c r="B4" s="164" t="s">
        <v>1075</v>
      </c>
      <c r="C4" s="267"/>
      <c r="D4" s="32"/>
      <c r="E4" s="32"/>
      <c r="F4" s="115"/>
      <c r="O4" s="276">
        <v>7.79</v>
      </c>
      <c r="P4">
        <v>5</v>
      </c>
      <c r="Q4">
        <v>800</v>
      </c>
      <c r="R4">
        <v>200</v>
      </c>
      <c r="S4">
        <v>100</v>
      </c>
      <c r="T4">
        <v>500</v>
      </c>
    </row>
    <row r="5" spans="2:22" ht="15.75" thickBot="1" x14ac:dyDescent="0.3">
      <c r="B5" s="269" t="s">
        <v>1067</v>
      </c>
      <c r="C5" s="270">
        <f>(SUMPRODUCT(O2:O95,Q2:Q95))/Q96</f>
        <v>7.2103614457831329</v>
      </c>
      <c r="D5" s="169"/>
      <c r="E5" s="169"/>
      <c r="F5" s="170"/>
      <c r="O5" s="276">
        <v>7.77</v>
      </c>
      <c r="P5">
        <v>2</v>
      </c>
      <c r="Q5">
        <v>200</v>
      </c>
      <c r="R5">
        <v>0</v>
      </c>
      <c r="S5">
        <v>0</v>
      </c>
      <c r="T5">
        <v>200</v>
      </c>
    </row>
    <row r="6" spans="2:22" x14ac:dyDescent="0.25">
      <c r="O6" s="276">
        <v>7.75</v>
      </c>
      <c r="P6">
        <v>5</v>
      </c>
      <c r="Q6">
        <v>700</v>
      </c>
      <c r="R6">
        <v>200</v>
      </c>
      <c r="S6">
        <v>400</v>
      </c>
      <c r="T6">
        <v>100</v>
      </c>
    </row>
    <row r="7" spans="2:22" x14ac:dyDescent="0.25">
      <c r="B7" s="29"/>
      <c r="O7" s="276">
        <v>7.74</v>
      </c>
      <c r="P7">
        <v>2</v>
      </c>
      <c r="Q7">
        <v>100</v>
      </c>
      <c r="R7">
        <v>0</v>
      </c>
      <c r="S7">
        <v>0</v>
      </c>
      <c r="T7">
        <v>100</v>
      </c>
    </row>
    <row r="8" spans="2:22" x14ac:dyDescent="0.25">
      <c r="O8" s="276">
        <v>7.73</v>
      </c>
      <c r="P8">
        <v>2</v>
      </c>
      <c r="Q8">
        <v>100</v>
      </c>
      <c r="R8">
        <v>0</v>
      </c>
      <c r="S8">
        <v>0</v>
      </c>
      <c r="T8">
        <v>100</v>
      </c>
    </row>
    <row r="9" spans="2:22" x14ac:dyDescent="0.25">
      <c r="O9" s="276">
        <v>7.7</v>
      </c>
      <c r="P9">
        <v>1</v>
      </c>
      <c r="Q9">
        <v>100</v>
      </c>
      <c r="R9">
        <v>0</v>
      </c>
      <c r="S9">
        <v>0</v>
      </c>
      <c r="T9">
        <v>100</v>
      </c>
    </row>
    <row r="10" spans="2:22" x14ac:dyDescent="0.25">
      <c r="O10" s="276">
        <v>7.69</v>
      </c>
      <c r="P10">
        <v>3</v>
      </c>
      <c r="Q10">
        <v>200</v>
      </c>
      <c r="R10">
        <v>0</v>
      </c>
      <c r="S10">
        <v>100</v>
      </c>
      <c r="T10">
        <v>100</v>
      </c>
    </row>
    <row r="11" spans="2:22" x14ac:dyDescent="0.25">
      <c r="O11" s="276">
        <v>7.68</v>
      </c>
      <c r="P11">
        <v>3</v>
      </c>
      <c r="Q11">
        <v>400</v>
      </c>
      <c r="R11">
        <v>100</v>
      </c>
      <c r="S11">
        <v>200</v>
      </c>
      <c r="T11">
        <v>100</v>
      </c>
    </row>
    <row r="12" spans="2:22" x14ac:dyDescent="0.25">
      <c r="O12" s="276">
        <v>7.67</v>
      </c>
      <c r="P12">
        <v>3</v>
      </c>
      <c r="Q12">
        <v>300</v>
      </c>
      <c r="R12">
        <v>0</v>
      </c>
      <c r="S12">
        <v>0</v>
      </c>
      <c r="T12">
        <v>300</v>
      </c>
    </row>
    <row r="13" spans="2:22" x14ac:dyDescent="0.25">
      <c r="O13" s="276">
        <v>7.66</v>
      </c>
      <c r="P13">
        <v>3</v>
      </c>
      <c r="Q13">
        <v>300</v>
      </c>
      <c r="R13">
        <v>0</v>
      </c>
      <c r="S13">
        <v>100</v>
      </c>
      <c r="T13">
        <v>200</v>
      </c>
    </row>
    <row r="14" spans="2:22" x14ac:dyDescent="0.25">
      <c r="O14" s="276">
        <v>7.65</v>
      </c>
      <c r="P14">
        <v>1</v>
      </c>
      <c r="Q14">
        <v>100</v>
      </c>
      <c r="R14">
        <v>0</v>
      </c>
      <c r="S14">
        <v>0</v>
      </c>
      <c r="T14">
        <v>100</v>
      </c>
    </row>
    <row r="15" spans="2:22" x14ac:dyDescent="0.25">
      <c r="O15" s="276">
        <v>7.63</v>
      </c>
      <c r="P15">
        <v>3</v>
      </c>
      <c r="Q15">
        <v>400</v>
      </c>
      <c r="R15">
        <v>0</v>
      </c>
      <c r="S15">
        <v>400</v>
      </c>
      <c r="T15">
        <v>0</v>
      </c>
    </row>
    <row r="16" spans="2:22" x14ac:dyDescent="0.25">
      <c r="O16" s="276">
        <v>7.6</v>
      </c>
      <c r="P16">
        <v>5</v>
      </c>
      <c r="Q16">
        <v>600</v>
      </c>
      <c r="R16">
        <v>0</v>
      </c>
      <c r="S16">
        <v>100</v>
      </c>
      <c r="T16">
        <v>500</v>
      </c>
    </row>
    <row r="17" spans="15:20" x14ac:dyDescent="0.25">
      <c r="O17" s="276">
        <v>7.59</v>
      </c>
      <c r="P17">
        <v>6</v>
      </c>
      <c r="Q17">
        <v>900</v>
      </c>
      <c r="R17">
        <v>0</v>
      </c>
      <c r="S17">
        <v>0</v>
      </c>
      <c r="T17">
        <v>900</v>
      </c>
    </row>
    <row r="18" spans="15:20" x14ac:dyDescent="0.25">
      <c r="O18" s="276">
        <v>7.58</v>
      </c>
      <c r="P18">
        <v>5</v>
      </c>
      <c r="Q18">
        <v>500</v>
      </c>
      <c r="R18">
        <v>100</v>
      </c>
      <c r="S18">
        <v>300</v>
      </c>
      <c r="T18">
        <v>100</v>
      </c>
    </row>
    <row r="19" spans="15:20" x14ac:dyDescent="0.25">
      <c r="O19" s="276">
        <v>7.57</v>
      </c>
      <c r="P19">
        <v>2</v>
      </c>
      <c r="Q19">
        <v>300</v>
      </c>
      <c r="R19">
        <v>0</v>
      </c>
      <c r="S19">
        <v>0</v>
      </c>
      <c r="T19">
        <v>300</v>
      </c>
    </row>
    <row r="20" spans="15:20" x14ac:dyDescent="0.25">
      <c r="O20" s="276">
        <v>7.53</v>
      </c>
      <c r="P20">
        <v>5</v>
      </c>
      <c r="Q20">
        <v>500</v>
      </c>
      <c r="R20">
        <v>0</v>
      </c>
      <c r="S20">
        <v>200</v>
      </c>
      <c r="T20">
        <v>300</v>
      </c>
    </row>
    <row r="21" spans="15:20" x14ac:dyDescent="0.25">
      <c r="O21" s="276">
        <v>7.5</v>
      </c>
      <c r="P21">
        <v>3</v>
      </c>
      <c r="Q21">
        <v>400</v>
      </c>
      <c r="R21">
        <v>300</v>
      </c>
      <c r="S21">
        <v>0</v>
      </c>
      <c r="T21">
        <v>100</v>
      </c>
    </row>
    <row r="22" spans="15:20" x14ac:dyDescent="0.25">
      <c r="O22" s="276">
        <v>7.49</v>
      </c>
      <c r="P22">
        <v>5</v>
      </c>
      <c r="Q22">
        <v>700</v>
      </c>
      <c r="R22">
        <v>0</v>
      </c>
      <c r="S22">
        <v>0</v>
      </c>
      <c r="T22">
        <v>700</v>
      </c>
    </row>
    <row r="23" spans="15:20" x14ac:dyDescent="0.25">
      <c r="O23" s="276">
        <v>7.48</v>
      </c>
      <c r="P23">
        <v>15</v>
      </c>
      <c r="Q23">
        <v>2100</v>
      </c>
      <c r="R23">
        <v>500</v>
      </c>
      <c r="S23">
        <v>300</v>
      </c>
      <c r="T23">
        <v>1300</v>
      </c>
    </row>
    <row r="24" spans="15:20" x14ac:dyDescent="0.25">
      <c r="O24" s="276">
        <v>7.47</v>
      </c>
      <c r="P24">
        <v>6</v>
      </c>
      <c r="Q24">
        <v>800</v>
      </c>
      <c r="R24">
        <v>0</v>
      </c>
      <c r="S24">
        <v>100</v>
      </c>
      <c r="T24">
        <v>700</v>
      </c>
    </row>
    <row r="25" spans="15:20" x14ac:dyDescent="0.25">
      <c r="O25" s="276">
        <v>7.46</v>
      </c>
      <c r="P25">
        <v>1</v>
      </c>
      <c r="Q25">
        <v>100</v>
      </c>
      <c r="R25">
        <v>0</v>
      </c>
      <c r="S25">
        <v>0</v>
      </c>
      <c r="T25">
        <v>100</v>
      </c>
    </row>
    <row r="26" spans="15:20" x14ac:dyDescent="0.25">
      <c r="O26" s="276">
        <v>7.43</v>
      </c>
      <c r="P26">
        <v>2</v>
      </c>
      <c r="Q26">
        <v>200</v>
      </c>
      <c r="R26">
        <v>0</v>
      </c>
      <c r="S26">
        <v>100</v>
      </c>
      <c r="T26">
        <v>100</v>
      </c>
    </row>
    <row r="27" spans="15:20" x14ac:dyDescent="0.25">
      <c r="O27" s="276">
        <v>7.41</v>
      </c>
      <c r="P27">
        <v>1</v>
      </c>
      <c r="Q27">
        <v>200</v>
      </c>
      <c r="R27">
        <v>0</v>
      </c>
      <c r="S27">
        <v>200</v>
      </c>
      <c r="T27">
        <v>0</v>
      </c>
    </row>
    <row r="28" spans="15:20" x14ac:dyDescent="0.25">
      <c r="O28" s="276">
        <v>7.4</v>
      </c>
      <c r="P28">
        <v>11</v>
      </c>
      <c r="Q28">
        <v>800</v>
      </c>
      <c r="R28">
        <v>600</v>
      </c>
      <c r="S28">
        <v>100</v>
      </c>
      <c r="T28">
        <v>100</v>
      </c>
    </row>
    <row r="29" spans="15:20" x14ac:dyDescent="0.25">
      <c r="O29" s="276">
        <v>7.39</v>
      </c>
      <c r="P29">
        <v>7</v>
      </c>
      <c r="Q29">
        <v>900</v>
      </c>
      <c r="R29">
        <v>100</v>
      </c>
      <c r="S29">
        <v>100</v>
      </c>
      <c r="T29">
        <v>700</v>
      </c>
    </row>
    <row r="30" spans="15:20" x14ac:dyDescent="0.25">
      <c r="O30" s="276">
        <v>7.38</v>
      </c>
      <c r="P30">
        <v>3</v>
      </c>
      <c r="Q30">
        <v>200</v>
      </c>
      <c r="R30">
        <v>0</v>
      </c>
      <c r="S30">
        <v>100</v>
      </c>
      <c r="T30">
        <v>100</v>
      </c>
    </row>
    <row r="31" spans="15:20" x14ac:dyDescent="0.25">
      <c r="O31" s="276">
        <v>7.37</v>
      </c>
      <c r="P31">
        <v>2</v>
      </c>
      <c r="Q31">
        <v>100</v>
      </c>
      <c r="R31">
        <v>0</v>
      </c>
      <c r="S31">
        <v>0</v>
      </c>
      <c r="T31">
        <v>100</v>
      </c>
    </row>
    <row r="32" spans="15:20" x14ac:dyDescent="0.25">
      <c r="O32" s="276">
        <v>7.36</v>
      </c>
      <c r="P32">
        <v>1</v>
      </c>
      <c r="Q32">
        <v>100</v>
      </c>
      <c r="R32">
        <v>0</v>
      </c>
      <c r="S32">
        <v>0</v>
      </c>
      <c r="T32">
        <v>100</v>
      </c>
    </row>
    <row r="33" spans="15:20" x14ac:dyDescent="0.25">
      <c r="O33" s="276">
        <v>7.35</v>
      </c>
      <c r="P33">
        <v>8</v>
      </c>
      <c r="Q33">
        <v>900</v>
      </c>
      <c r="R33">
        <v>0</v>
      </c>
      <c r="S33">
        <v>500</v>
      </c>
      <c r="T33">
        <v>400</v>
      </c>
    </row>
    <row r="34" spans="15:20" x14ac:dyDescent="0.25">
      <c r="O34" s="276">
        <v>7.34</v>
      </c>
      <c r="P34">
        <v>2</v>
      </c>
      <c r="Q34">
        <v>200</v>
      </c>
      <c r="R34">
        <v>0</v>
      </c>
      <c r="S34">
        <v>100</v>
      </c>
      <c r="T34">
        <v>100</v>
      </c>
    </row>
    <row r="35" spans="15:20" x14ac:dyDescent="0.25">
      <c r="O35" s="276">
        <v>7.32</v>
      </c>
      <c r="P35">
        <v>4</v>
      </c>
      <c r="Q35">
        <v>600</v>
      </c>
      <c r="R35">
        <v>0</v>
      </c>
      <c r="S35">
        <v>0</v>
      </c>
      <c r="T35">
        <v>600</v>
      </c>
    </row>
    <row r="36" spans="15:20" x14ac:dyDescent="0.25">
      <c r="O36" s="276">
        <v>7.31</v>
      </c>
      <c r="P36">
        <v>3</v>
      </c>
      <c r="Q36">
        <v>300</v>
      </c>
      <c r="R36">
        <v>100</v>
      </c>
      <c r="S36">
        <v>100</v>
      </c>
      <c r="T36">
        <v>100</v>
      </c>
    </row>
    <row r="37" spans="15:20" x14ac:dyDescent="0.25">
      <c r="O37" s="276">
        <v>7.3</v>
      </c>
      <c r="P37">
        <v>11</v>
      </c>
      <c r="Q37">
        <v>2200</v>
      </c>
      <c r="R37">
        <v>800</v>
      </c>
      <c r="S37">
        <v>1100</v>
      </c>
      <c r="T37">
        <v>300</v>
      </c>
    </row>
    <row r="38" spans="15:20" x14ac:dyDescent="0.25">
      <c r="O38" s="276">
        <v>7.29</v>
      </c>
      <c r="P38">
        <v>9</v>
      </c>
      <c r="Q38">
        <v>600</v>
      </c>
      <c r="R38">
        <v>0</v>
      </c>
      <c r="S38">
        <v>200</v>
      </c>
      <c r="T38">
        <v>400</v>
      </c>
    </row>
    <row r="39" spans="15:20" x14ac:dyDescent="0.25">
      <c r="O39" s="276">
        <v>7.28</v>
      </c>
      <c r="P39">
        <v>1</v>
      </c>
      <c r="Q39">
        <v>100</v>
      </c>
      <c r="R39">
        <v>0</v>
      </c>
      <c r="S39">
        <v>0</v>
      </c>
      <c r="T39">
        <v>100</v>
      </c>
    </row>
    <row r="40" spans="15:20" x14ac:dyDescent="0.25">
      <c r="O40" s="276">
        <v>7.27</v>
      </c>
      <c r="P40">
        <v>2</v>
      </c>
      <c r="Q40">
        <v>200</v>
      </c>
      <c r="R40">
        <v>200</v>
      </c>
      <c r="S40">
        <v>0</v>
      </c>
      <c r="T40">
        <v>0</v>
      </c>
    </row>
    <row r="41" spans="15:20" x14ac:dyDescent="0.25">
      <c r="O41" s="276">
        <v>7.26</v>
      </c>
      <c r="P41">
        <v>8</v>
      </c>
      <c r="Q41">
        <v>1100</v>
      </c>
      <c r="R41">
        <v>600</v>
      </c>
      <c r="S41">
        <v>0</v>
      </c>
      <c r="T41">
        <v>500</v>
      </c>
    </row>
    <row r="42" spans="15:20" x14ac:dyDescent="0.25">
      <c r="O42" s="276">
        <v>7.25</v>
      </c>
      <c r="P42">
        <v>4</v>
      </c>
      <c r="Q42">
        <v>500</v>
      </c>
      <c r="R42">
        <v>0</v>
      </c>
      <c r="S42">
        <v>300</v>
      </c>
      <c r="T42">
        <v>200</v>
      </c>
    </row>
    <row r="43" spans="15:20" x14ac:dyDescent="0.25">
      <c r="O43" s="276">
        <v>7.24</v>
      </c>
      <c r="P43">
        <v>6</v>
      </c>
      <c r="Q43">
        <v>500</v>
      </c>
      <c r="R43">
        <v>100</v>
      </c>
      <c r="S43">
        <v>200</v>
      </c>
      <c r="T43">
        <v>200</v>
      </c>
    </row>
    <row r="44" spans="15:20" x14ac:dyDescent="0.25">
      <c r="O44" s="276">
        <v>7.23</v>
      </c>
      <c r="P44">
        <v>14</v>
      </c>
      <c r="Q44">
        <v>1600</v>
      </c>
      <c r="R44">
        <v>800</v>
      </c>
      <c r="S44">
        <v>800</v>
      </c>
      <c r="T44">
        <v>0</v>
      </c>
    </row>
    <row r="45" spans="15:20" x14ac:dyDescent="0.25">
      <c r="O45" s="276">
        <v>7.22</v>
      </c>
      <c r="P45">
        <v>10</v>
      </c>
      <c r="Q45">
        <v>1200</v>
      </c>
      <c r="R45">
        <v>600</v>
      </c>
      <c r="S45">
        <v>400</v>
      </c>
      <c r="T45">
        <v>200</v>
      </c>
    </row>
    <row r="46" spans="15:20" x14ac:dyDescent="0.25">
      <c r="O46" s="276">
        <v>7.21</v>
      </c>
      <c r="P46">
        <v>20</v>
      </c>
      <c r="Q46">
        <v>3100</v>
      </c>
      <c r="R46">
        <v>1000</v>
      </c>
      <c r="S46">
        <v>900</v>
      </c>
      <c r="T46">
        <v>1200</v>
      </c>
    </row>
    <row r="47" spans="15:20" x14ac:dyDescent="0.25">
      <c r="O47" s="276">
        <v>7.2</v>
      </c>
      <c r="P47">
        <v>13</v>
      </c>
      <c r="Q47">
        <v>2000</v>
      </c>
      <c r="R47">
        <v>1000</v>
      </c>
      <c r="S47">
        <v>400</v>
      </c>
      <c r="T47">
        <v>600</v>
      </c>
    </row>
    <row r="48" spans="15:20" x14ac:dyDescent="0.25">
      <c r="O48" s="276">
        <v>7.19</v>
      </c>
      <c r="P48">
        <v>5</v>
      </c>
      <c r="Q48">
        <v>1000</v>
      </c>
      <c r="R48">
        <v>900</v>
      </c>
      <c r="S48">
        <v>100</v>
      </c>
      <c r="T48">
        <v>0</v>
      </c>
    </row>
    <row r="49" spans="15:20" x14ac:dyDescent="0.25">
      <c r="O49" s="276">
        <v>7.18</v>
      </c>
      <c r="P49">
        <v>6</v>
      </c>
      <c r="Q49">
        <v>1500</v>
      </c>
      <c r="R49">
        <v>1400</v>
      </c>
      <c r="S49">
        <v>100</v>
      </c>
      <c r="T49">
        <v>0</v>
      </c>
    </row>
    <row r="50" spans="15:20" x14ac:dyDescent="0.25">
      <c r="O50" s="276">
        <v>7.17</v>
      </c>
      <c r="P50">
        <v>10</v>
      </c>
      <c r="Q50">
        <v>1500</v>
      </c>
      <c r="R50">
        <v>900</v>
      </c>
      <c r="S50">
        <v>400</v>
      </c>
      <c r="T50">
        <v>200</v>
      </c>
    </row>
    <row r="51" spans="15:20" x14ac:dyDescent="0.25">
      <c r="O51" s="276">
        <v>7.16</v>
      </c>
      <c r="P51">
        <v>10</v>
      </c>
      <c r="Q51">
        <v>2100</v>
      </c>
      <c r="R51">
        <v>1600</v>
      </c>
      <c r="S51">
        <v>500</v>
      </c>
      <c r="T51">
        <v>0</v>
      </c>
    </row>
    <row r="52" spans="15:20" x14ac:dyDescent="0.25">
      <c r="O52" s="276">
        <v>7.15</v>
      </c>
      <c r="P52">
        <v>9</v>
      </c>
      <c r="Q52">
        <v>2000</v>
      </c>
      <c r="R52">
        <v>1500</v>
      </c>
      <c r="S52">
        <v>100</v>
      </c>
      <c r="T52">
        <v>400</v>
      </c>
    </row>
    <row r="53" spans="15:20" x14ac:dyDescent="0.25">
      <c r="O53" s="276">
        <v>7.14</v>
      </c>
      <c r="P53">
        <v>5</v>
      </c>
      <c r="Q53">
        <v>600</v>
      </c>
      <c r="R53">
        <v>300</v>
      </c>
      <c r="S53">
        <v>0</v>
      </c>
      <c r="T53">
        <v>300</v>
      </c>
    </row>
    <row r="54" spans="15:20" x14ac:dyDescent="0.25">
      <c r="O54" s="276">
        <v>7.13</v>
      </c>
      <c r="P54">
        <v>7</v>
      </c>
      <c r="Q54">
        <v>800</v>
      </c>
      <c r="R54">
        <v>500</v>
      </c>
      <c r="S54">
        <v>100</v>
      </c>
      <c r="T54">
        <v>200</v>
      </c>
    </row>
    <row r="55" spans="15:20" x14ac:dyDescent="0.25">
      <c r="O55" s="276">
        <v>7.12</v>
      </c>
      <c r="P55">
        <v>3</v>
      </c>
      <c r="Q55">
        <v>300</v>
      </c>
      <c r="R55">
        <v>100</v>
      </c>
      <c r="S55">
        <v>100</v>
      </c>
      <c r="T55">
        <v>100</v>
      </c>
    </row>
    <row r="56" spans="15:20" x14ac:dyDescent="0.25">
      <c r="O56" s="276">
        <v>7.11</v>
      </c>
      <c r="P56">
        <v>2</v>
      </c>
      <c r="Q56">
        <v>300</v>
      </c>
      <c r="R56">
        <v>200</v>
      </c>
      <c r="S56">
        <v>100</v>
      </c>
      <c r="T56">
        <v>0</v>
      </c>
    </row>
    <row r="57" spans="15:20" x14ac:dyDescent="0.25">
      <c r="O57" s="276">
        <v>7.1</v>
      </c>
      <c r="P57">
        <v>3</v>
      </c>
      <c r="Q57">
        <v>300</v>
      </c>
      <c r="R57">
        <v>200</v>
      </c>
      <c r="S57">
        <v>0</v>
      </c>
      <c r="T57">
        <v>100</v>
      </c>
    </row>
    <row r="58" spans="15:20" x14ac:dyDescent="0.25">
      <c r="O58" s="276">
        <v>7.09</v>
      </c>
      <c r="P58">
        <v>5</v>
      </c>
      <c r="Q58">
        <v>400</v>
      </c>
      <c r="R58">
        <v>200</v>
      </c>
      <c r="S58">
        <v>100</v>
      </c>
      <c r="T58">
        <v>100</v>
      </c>
    </row>
    <row r="59" spans="15:20" x14ac:dyDescent="0.25">
      <c r="O59" s="276">
        <v>7.08</v>
      </c>
      <c r="P59">
        <v>8</v>
      </c>
      <c r="Q59">
        <v>700</v>
      </c>
      <c r="R59">
        <v>500</v>
      </c>
      <c r="S59">
        <v>100</v>
      </c>
      <c r="T59">
        <v>100</v>
      </c>
    </row>
    <row r="60" spans="15:20" x14ac:dyDescent="0.25">
      <c r="O60" s="276">
        <v>7.07</v>
      </c>
      <c r="P60">
        <v>7</v>
      </c>
      <c r="Q60">
        <v>700</v>
      </c>
      <c r="R60">
        <v>500</v>
      </c>
      <c r="S60">
        <v>200</v>
      </c>
      <c r="T60">
        <v>0</v>
      </c>
    </row>
    <row r="61" spans="15:20" x14ac:dyDescent="0.25">
      <c r="O61" s="276">
        <v>7.06</v>
      </c>
      <c r="P61">
        <v>4</v>
      </c>
      <c r="Q61">
        <v>1200</v>
      </c>
      <c r="R61">
        <v>200</v>
      </c>
      <c r="S61">
        <v>0</v>
      </c>
      <c r="T61">
        <v>1000</v>
      </c>
    </row>
    <row r="62" spans="15:20" x14ac:dyDescent="0.25">
      <c r="O62" s="276">
        <v>7.05</v>
      </c>
      <c r="P62">
        <v>4</v>
      </c>
      <c r="Q62">
        <v>600</v>
      </c>
      <c r="R62">
        <v>600</v>
      </c>
      <c r="S62">
        <v>0</v>
      </c>
      <c r="T62">
        <v>0</v>
      </c>
    </row>
    <row r="63" spans="15:20" x14ac:dyDescent="0.25">
      <c r="O63" s="276">
        <v>7.04</v>
      </c>
      <c r="P63">
        <v>1</v>
      </c>
      <c r="Q63">
        <v>100</v>
      </c>
      <c r="R63">
        <v>0</v>
      </c>
      <c r="S63">
        <v>0</v>
      </c>
      <c r="T63">
        <v>100</v>
      </c>
    </row>
    <row r="64" spans="15:20" x14ac:dyDescent="0.25">
      <c r="O64" s="276">
        <v>7.03</v>
      </c>
      <c r="P64">
        <v>1</v>
      </c>
      <c r="Q64">
        <v>400</v>
      </c>
      <c r="R64">
        <v>0</v>
      </c>
      <c r="S64">
        <v>0</v>
      </c>
      <c r="T64">
        <v>400</v>
      </c>
    </row>
    <row r="65" spans="15:20" x14ac:dyDescent="0.25">
      <c r="O65" s="276">
        <v>7.02</v>
      </c>
      <c r="P65">
        <v>3</v>
      </c>
      <c r="Q65">
        <v>300</v>
      </c>
      <c r="R65">
        <v>200</v>
      </c>
      <c r="S65">
        <v>0</v>
      </c>
      <c r="T65">
        <v>100</v>
      </c>
    </row>
    <row r="66" spans="15:20" x14ac:dyDescent="0.25">
      <c r="O66" s="276">
        <v>7.01</v>
      </c>
      <c r="P66">
        <v>10</v>
      </c>
      <c r="Q66">
        <v>1900</v>
      </c>
      <c r="R66">
        <v>1000</v>
      </c>
      <c r="S66">
        <v>700</v>
      </c>
      <c r="T66">
        <v>200</v>
      </c>
    </row>
    <row r="67" spans="15:20" x14ac:dyDescent="0.25">
      <c r="O67" s="276">
        <v>7</v>
      </c>
      <c r="P67">
        <v>16</v>
      </c>
      <c r="Q67">
        <v>2700</v>
      </c>
      <c r="R67">
        <v>800</v>
      </c>
      <c r="S67">
        <v>1000</v>
      </c>
      <c r="T67">
        <v>900</v>
      </c>
    </row>
    <row r="68" spans="15:20" x14ac:dyDescent="0.25">
      <c r="O68" s="276">
        <v>6.99</v>
      </c>
      <c r="P68">
        <v>1</v>
      </c>
      <c r="Q68">
        <v>100</v>
      </c>
      <c r="R68">
        <v>0</v>
      </c>
      <c r="S68">
        <v>0</v>
      </c>
      <c r="T68">
        <v>100</v>
      </c>
    </row>
    <row r="69" spans="15:20" x14ac:dyDescent="0.25">
      <c r="O69" s="276">
        <v>6.98</v>
      </c>
      <c r="P69">
        <v>1</v>
      </c>
      <c r="Q69">
        <v>200</v>
      </c>
      <c r="R69">
        <v>0</v>
      </c>
      <c r="S69">
        <v>0</v>
      </c>
      <c r="T69">
        <v>200</v>
      </c>
    </row>
    <row r="70" spans="15:20" x14ac:dyDescent="0.25">
      <c r="O70" s="276">
        <v>6.96</v>
      </c>
      <c r="P70">
        <v>5</v>
      </c>
      <c r="Q70">
        <v>500</v>
      </c>
      <c r="R70">
        <v>200</v>
      </c>
      <c r="S70">
        <v>200</v>
      </c>
      <c r="T70">
        <v>100</v>
      </c>
    </row>
    <row r="71" spans="15:20" x14ac:dyDescent="0.25">
      <c r="O71" s="276">
        <v>6.95</v>
      </c>
      <c r="P71">
        <v>5</v>
      </c>
      <c r="Q71">
        <v>600</v>
      </c>
      <c r="R71">
        <v>300</v>
      </c>
      <c r="S71">
        <v>0</v>
      </c>
      <c r="T71">
        <v>300</v>
      </c>
    </row>
    <row r="72" spans="15:20" x14ac:dyDescent="0.25">
      <c r="O72" s="276">
        <v>6.94</v>
      </c>
      <c r="P72">
        <v>1</v>
      </c>
      <c r="Q72">
        <v>200</v>
      </c>
      <c r="R72">
        <v>0</v>
      </c>
      <c r="S72">
        <v>0</v>
      </c>
      <c r="T72">
        <v>200</v>
      </c>
    </row>
    <row r="73" spans="15:20" x14ac:dyDescent="0.25">
      <c r="O73" s="276">
        <v>6.92</v>
      </c>
      <c r="P73">
        <v>1</v>
      </c>
      <c r="Q73">
        <v>100</v>
      </c>
      <c r="R73">
        <v>100</v>
      </c>
      <c r="S73">
        <v>0</v>
      </c>
      <c r="T73">
        <v>0</v>
      </c>
    </row>
    <row r="74" spans="15:20" x14ac:dyDescent="0.25">
      <c r="O74" s="276">
        <v>6.9</v>
      </c>
      <c r="P74">
        <v>3</v>
      </c>
      <c r="Q74">
        <v>600</v>
      </c>
      <c r="R74">
        <v>300</v>
      </c>
      <c r="S74">
        <v>300</v>
      </c>
      <c r="T74">
        <v>0</v>
      </c>
    </row>
    <row r="75" spans="15:20" x14ac:dyDescent="0.25">
      <c r="O75" s="276">
        <v>6.88</v>
      </c>
      <c r="P75">
        <v>6</v>
      </c>
      <c r="Q75">
        <v>600</v>
      </c>
      <c r="R75">
        <v>500</v>
      </c>
      <c r="S75">
        <v>100</v>
      </c>
      <c r="T75">
        <v>0</v>
      </c>
    </row>
    <row r="76" spans="15:20" x14ac:dyDescent="0.25">
      <c r="O76" s="276">
        <v>6.87</v>
      </c>
      <c r="P76">
        <v>1</v>
      </c>
      <c r="Q76">
        <v>100</v>
      </c>
      <c r="R76">
        <v>100</v>
      </c>
      <c r="S76">
        <v>0</v>
      </c>
      <c r="T76">
        <v>0</v>
      </c>
    </row>
    <row r="77" spans="15:20" x14ac:dyDescent="0.25">
      <c r="O77" s="276">
        <v>6.86</v>
      </c>
      <c r="P77">
        <v>14</v>
      </c>
      <c r="Q77">
        <v>5400</v>
      </c>
      <c r="R77">
        <v>2900</v>
      </c>
      <c r="S77">
        <v>1900</v>
      </c>
      <c r="T77">
        <v>600</v>
      </c>
    </row>
    <row r="78" spans="15:20" x14ac:dyDescent="0.25">
      <c r="O78" s="276">
        <v>6.85</v>
      </c>
      <c r="P78">
        <v>8</v>
      </c>
      <c r="Q78">
        <v>1100</v>
      </c>
      <c r="R78">
        <v>1000</v>
      </c>
      <c r="S78">
        <v>0</v>
      </c>
      <c r="T78">
        <v>100</v>
      </c>
    </row>
    <row r="79" spans="15:20" x14ac:dyDescent="0.25">
      <c r="O79" s="276">
        <v>6.84</v>
      </c>
      <c r="P79">
        <v>2</v>
      </c>
      <c r="Q79">
        <v>300</v>
      </c>
      <c r="R79">
        <v>300</v>
      </c>
      <c r="S79">
        <v>0</v>
      </c>
      <c r="T79">
        <v>0</v>
      </c>
    </row>
    <row r="80" spans="15:20" x14ac:dyDescent="0.25">
      <c r="O80" s="276">
        <v>6.82</v>
      </c>
      <c r="P80">
        <v>1</v>
      </c>
      <c r="Q80">
        <v>100</v>
      </c>
      <c r="R80">
        <v>100</v>
      </c>
      <c r="S80">
        <v>0</v>
      </c>
      <c r="T80">
        <v>0</v>
      </c>
    </row>
    <row r="81" spans="15:20" x14ac:dyDescent="0.25">
      <c r="O81" s="276">
        <v>6.81</v>
      </c>
      <c r="P81">
        <v>3</v>
      </c>
      <c r="Q81">
        <v>500</v>
      </c>
      <c r="R81">
        <v>300</v>
      </c>
      <c r="S81">
        <v>200</v>
      </c>
      <c r="T81">
        <v>0</v>
      </c>
    </row>
    <row r="82" spans="15:20" x14ac:dyDescent="0.25">
      <c r="O82" s="276">
        <v>6.8</v>
      </c>
      <c r="P82">
        <v>6</v>
      </c>
      <c r="Q82">
        <v>600</v>
      </c>
      <c r="R82">
        <v>500</v>
      </c>
      <c r="S82">
        <v>100</v>
      </c>
      <c r="T82">
        <v>0</v>
      </c>
    </row>
    <row r="83" spans="15:20" x14ac:dyDescent="0.25">
      <c r="O83" s="276">
        <v>6.79</v>
      </c>
      <c r="P83">
        <v>7</v>
      </c>
      <c r="Q83">
        <v>600</v>
      </c>
      <c r="R83">
        <v>600</v>
      </c>
      <c r="S83">
        <v>0</v>
      </c>
      <c r="T83">
        <v>0</v>
      </c>
    </row>
    <row r="84" spans="15:20" x14ac:dyDescent="0.25">
      <c r="O84" s="276">
        <v>6.78</v>
      </c>
      <c r="P84">
        <v>2</v>
      </c>
      <c r="Q84">
        <v>200</v>
      </c>
      <c r="R84">
        <v>200</v>
      </c>
      <c r="S84">
        <v>0</v>
      </c>
      <c r="T84">
        <v>0</v>
      </c>
    </row>
    <row r="85" spans="15:20" x14ac:dyDescent="0.25">
      <c r="O85" s="276">
        <v>6.77</v>
      </c>
      <c r="P85">
        <v>2</v>
      </c>
      <c r="Q85">
        <v>200</v>
      </c>
      <c r="R85">
        <v>200</v>
      </c>
      <c r="S85">
        <v>0</v>
      </c>
      <c r="T85">
        <v>0</v>
      </c>
    </row>
    <row r="86" spans="15:20" x14ac:dyDescent="0.25">
      <c r="O86" s="276">
        <v>6.76</v>
      </c>
      <c r="P86">
        <v>1</v>
      </c>
      <c r="Q86">
        <v>100</v>
      </c>
      <c r="R86">
        <v>100</v>
      </c>
      <c r="S86">
        <v>0</v>
      </c>
      <c r="T86">
        <v>0</v>
      </c>
    </row>
    <row r="87" spans="15:20" x14ac:dyDescent="0.25">
      <c r="O87" s="276">
        <v>6.75</v>
      </c>
      <c r="P87">
        <v>2</v>
      </c>
      <c r="Q87">
        <v>200</v>
      </c>
      <c r="R87">
        <v>200</v>
      </c>
      <c r="S87">
        <v>0</v>
      </c>
      <c r="T87">
        <v>0</v>
      </c>
    </row>
    <row r="88" spans="15:20" x14ac:dyDescent="0.25">
      <c r="O88" s="276">
        <v>6.73</v>
      </c>
      <c r="P88">
        <v>2</v>
      </c>
      <c r="Q88">
        <v>200</v>
      </c>
      <c r="R88">
        <v>200</v>
      </c>
      <c r="S88">
        <v>0</v>
      </c>
      <c r="T88">
        <v>0</v>
      </c>
    </row>
    <row r="89" spans="15:20" x14ac:dyDescent="0.25">
      <c r="O89" s="276">
        <v>6.7</v>
      </c>
      <c r="P89">
        <v>1</v>
      </c>
      <c r="Q89">
        <v>100</v>
      </c>
      <c r="R89">
        <v>100</v>
      </c>
      <c r="S89">
        <v>0</v>
      </c>
      <c r="T89">
        <v>0</v>
      </c>
    </row>
    <row r="90" spans="15:20" x14ac:dyDescent="0.25">
      <c r="O90" s="276">
        <v>6.69</v>
      </c>
      <c r="P90">
        <v>3</v>
      </c>
      <c r="Q90">
        <v>300</v>
      </c>
      <c r="R90">
        <v>0</v>
      </c>
      <c r="S90">
        <v>300</v>
      </c>
      <c r="T90">
        <v>0</v>
      </c>
    </row>
    <row r="91" spans="15:20" x14ac:dyDescent="0.25">
      <c r="O91" s="276">
        <v>6.68</v>
      </c>
      <c r="P91">
        <v>3</v>
      </c>
      <c r="Q91">
        <v>400</v>
      </c>
      <c r="R91">
        <v>200</v>
      </c>
      <c r="S91">
        <v>200</v>
      </c>
      <c r="T91">
        <v>0</v>
      </c>
    </row>
    <row r="92" spans="15:20" x14ac:dyDescent="0.25">
      <c r="O92" s="276">
        <v>6.6</v>
      </c>
      <c r="P92">
        <v>2</v>
      </c>
      <c r="Q92">
        <v>200</v>
      </c>
      <c r="R92">
        <v>100</v>
      </c>
      <c r="S92">
        <v>100</v>
      </c>
      <c r="T92">
        <v>0</v>
      </c>
    </row>
    <row r="93" spans="15:20" x14ac:dyDescent="0.25">
      <c r="O93" s="276">
        <v>6.57</v>
      </c>
      <c r="P93">
        <v>1</v>
      </c>
      <c r="Q93">
        <v>300</v>
      </c>
      <c r="R93">
        <v>300</v>
      </c>
      <c r="S93">
        <v>0</v>
      </c>
      <c r="T93">
        <v>0</v>
      </c>
    </row>
    <row r="94" spans="15:20" x14ac:dyDescent="0.25">
      <c r="O94" s="276">
        <v>6.54</v>
      </c>
      <c r="P94">
        <v>5</v>
      </c>
      <c r="Q94">
        <v>500</v>
      </c>
      <c r="R94">
        <v>400</v>
      </c>
      <c r="S94">
        <v>100</v>
      </c>
      <c r="T94">
        <v>0</v>
      </c>
    </row>
    <row r="95" spans="15:20" x14ac:dyDescent="0.25">
      <c r="O95" s="276">
        <v>6.53</v>
      </c>
      <c r="P95">
        <v>4</v>
      </c>
      <c r="Q95">
        <v>200</v>
      </c>
      <c r="R95">
        <v>200</v>
      </c>
      <c r="S95">
        <v>0</v>
      </c>
      <c r="T95">
        <v>0</v>
      </c>
    </row>
    <row r="96" spans="15:20" x14ac:dyDescent="0.25">
      <c r="O96" s="276" t="s">
        <v>1074</v>
      </c>
      <c r="P96">
        <v>480</v>
      </c>
      <c r="Q96">
        <v>66400</v>
      </c>
      <c r="R96">
        <v>28300</v>
      </c>
      <c r="S96">
        <v>15000</v>
      </c>
      <c r="T96">
        <v>23100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K31" sqref="K31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31</v>
      </c>
    </row>
    <row r="2" spans="1:21" ht="15" customHeight="1" x14ac:dyDescent="0.25">
      <c r="A2" s="3" t="s">
        <v>719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49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729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730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74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162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736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731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732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763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163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739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737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734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399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164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735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740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738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127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814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815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816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819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150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151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817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884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1038</v>
      </c>
      <c r="M31" t="s">
        <v>1038</v>
      </c>
      <c r="N31" t="s">
        <v>1038</v>
      </c>
      <c r="O31" t="s">
        <v>1038</v>
      </c>
      <c r="P31" t="s">
        <v>1038</v>
      </c>
      <c r="Q31" t="s">
        <v>1038</v>
      </c>
      <c r="R31" t="s">
        <v>1038</v>
      </c>
      <c r="S31" t="s">
        <v>1038</v>
      </c>
      <c r="T31" t="s">
        <v>1038</v>
      </c>
    </row>
    <row r="32" spans="1:21" ht="15" customHeight="1" x14ac:dyDescent="0.25">
      <c r="A32" s="123" t="s">
        <v>885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1038</v>
      </c>
      <c r="M32" t="s">
        <v>1038</v>
      </c>
      <c r="N32" t="s">
        <v>1038</v>
      </c>
      <c r="O32" t="s">
        <v>1038</v>
      </c>
      <c r="P32" t="s">
        <v>1038</v>
      </c>
      <c r="Q32" t="s">
        <v>1038</v>
      </c>
      <c r="R32" t="s">
        <v>1038</v>
      </c>
      <c r="S32" t="s">
        <v>1038</v>
      </c>
      <c r="T32" t="s">
        <v>1038</v>
      </c>
    </row>
    <row r="33" spans="1:11" ht="15" customHeight="1" x14ac:dyDescent="0.25">
      <c r="A33" s="123" t="s">
        <v>1034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680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57</v>
      </c>
      <c r="T1" s="284" t="s">
        <v>813</v>
      </c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6"/>
    </row>
    <row r="2" spans="2:39" x14ac:dyDescent="0.25">
      <c r="B2" s="6" t="s">
        <v>49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743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682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727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681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709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684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420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685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686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687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688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683</v>
      </c>
      <c r="T10" s="167" t="s">
        <v>689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680</v>
      </c>
      <c r="C11" t="s">
        <v>49</v>
      </c>
      <c r="D11" t="s">
        <v>682</v>
      </c>
      <c r="E11" t="s">
        <v>681</v>
      </c>
      <c r="F11" s="29" t="s">
        <v>708</v>
      </c>
      <c r="G11" t="s">
        <v>710</v>
      </c>
      <c r="H11" s="130" t="s">
        <v>709</v>
      </c>
      <c r="I11" t="s">
        <v>420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695</v>
      </c>
      <c r="V13" s="127" t="s">
        <v>696</v>
      </c>
      <c r="W13" s="127" t="s">
        <v>697</v>
      </c>
      <c r="X13" s="127" t="s">
        <v>698</v>
      </c>
      <c r="Y13" s="127" t="s">
        <v>699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691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692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693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700</v>
      </c>
      <c r="V18" s="127" t="s">
        <v>688</v>
      </c>
      <c r="W18" s="127" t="s">
        <v>701</v>
      </c>
      <c r="X18" s="127" t="s">
        <v>702</v>
      </c>
      <c r="Y18" s="127" t="s">
        <v>703</v>
      </c>
      <c r="Z18" s="127" t="s">
        <v>704</v>
      </c>
      <c r="AA18" s="127" t="s">
        <v>705</v>
      </c>
      <c r="AB18" s="127" t="s">
        <v>706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694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680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49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712</v>
      </c>
    </row>
    <row r="25" spans="1:37" x14ac:dyDescent="0.25">
      <c r="A25" t="s">
        <v>711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49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429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723</v>
      </c>
    </row>
    <row r="31" spans="1:37" x14ac:dyDescent="0.25">
      <c r="A31" s="29" t="s">
        <v>429</v>
      </c>
      <c r="C31" s="48">
        <f>EXP(C32)-1</f>
        <v>6.5889304262572113E-2</v>
      </c>
    </row>
    <row r="32" spans="1:37" x14ac:dyDescent="0.25">
      <c r="A32" s="56" t="s">
        <v>430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767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769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768</v>
      </c>
      <c r="C40" s="57">
        <v>0.05</v>
      </c>
    </row>
    <row r="41" spans="1:11" x14ac:dyDescent="0.25">
      <c r="C41" s="57"/>
    </row>
    <row r="42" spans="1:11" x14ac:dyDescent="0.25">
      <c r="A42" s="199" t="s">
        <v>770</v>
      </c>
      <c r="C42" s="200">
        <f>EXP(C32+C34*C33)-1</f>
        <v>5.1271096376024117E-2</v>
      </c>
    </row>
    <row r="43" spans="1:11" x14ac:dyDescent="0.25">
      <c r="A43" s="199" t="s">
        <v>771</v>
      </c>
      <c r="C43" s="200">
        <f>EXP(C32+0*C33)-1</f>
        <v>6.5889304262572113E-2</v>
      </c>
    </row>
    <row r="44" spans="1:11" x14ac:dyDescent="0.25">
      <c r="A44" s="199" t="s">
        <v>772</v>
      </c>
      <c r="C44" s="200">
        <f>EXP(C32-C34*C33)-1</f>
        <v>8.0710782269026504E-2</v>
      </c>
    </row>
    <row r="45" spans="1:11" x14ac:dyDescent="0.25">
      <c r="A45" t="s">
        <v>773</v>
      </c>
      <c r="C45" s="57"/>
    </row>
    <row r="47" spans="1:11" x14ac:dyDescent="0.25">
      <c r="A47" s="29" t="s">
        <v>715</v>
      </c>
    </row>
    <row r="48" spans="1:11" x14ac:dyDescent="0.25">
      <c r="A48" t="s">
        <v>713</v>
      </c>
      <c r="B48" s="26">
        <f>C31</f>
        <v>6.5889304262572113E-2</v>
      </c>
    </row>
    <row r="49" spans="1:17" x14ac:dyDescent="0.25">
      <c r="A49" t="s">
        <v>714</v>
      </c>
      <c r="B49" s="26">
        <v>0.02</v>
      </c>
    </row>
    <row r="50" spans="1:17" x14ac:dyDescent="0.25">
      <c r="A50" t="s">
        <v>716</v>
      </c>
      <c r="B50">
        <v>8</v>
      </c>
    </row>
    <row r="51" spans="1:17" x14ac:dyDescent="0.25">
      <c r="A51" t="s">
        <v>717</v>
      </c>
      <c r="B51" s="26">
        <f>(B48-B49)/B50</f>
        <v>5.7361630328215136E-3</v>
      </c>
      <c r="C51" t="s">
        <v>718</v>
      </c>
    </row>
    <row r="53" spans="1:17" x14ac:dyDescent="0.25">
      <c r="A53" s="29" t="s">
        <v>719</v>
      </c>
      <c r="B53" s="29" t="s">
        <v>720</v>
      </c>
      <c r="C53" s="29" t="s">
        <v>721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708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726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4" t="s">
        <v>742</v>
      </c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6"/>
      <c r="AM1" s="288" t="s">
        <v>747</v>
      </c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  <c r="BB1" s="289"/>
      <c r="BC1" s="289"/>
      <c r="BD1" s="289"/>
      <c r="BE1" s="289"/>
      <c r="BF1" s="290"/>
    </row>
    <row r="2" spans="1:58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744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748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764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729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287" t="s">
        <v>745</v>
      </c>
      <c r="AD3" s="287"/>
      <c r="AE3" s="287"/>
      <c r="AF3" s="287"/>
      <c r="AG3" s="287"/>
      <c r="AH3" s="287"/>
      <c r="AI3" s="115"/>
      <c r="AM3" s="114" t="s">
        <v>741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741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163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7"/>
      <c r="AD4" s="287"/>
      <c r="AE4" s="287"/>
      <c r="AF4" s="287"/>
      <c r="AG4" s="287"/>
      <c r="AH4" s="287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7" t="s">
        <v>745</v>
      </c>
      <c r="BA4" s="287"/>
      <c r="BB4" s="287"/>
      <c r="BC4" s="287"/>
      <c r="BD4" s="287"/>
      <c r="BE4" s="287"/>
      <c r="BF4" s="115"/>
    </row>
    <row r="5" spans="1:58" x14ac:dyDescent="0.25">
      <c r="A5" s="6" t="s">
        <v>74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287"/>
      <c r="AD5" s="287"/>
      <c r="AE5" s="287"/>
      <c r="AF5" s="287"/>
      <c r="AG5" s="287"/>
      <c r="AH5" s="287"/>
      <c r="AI5" s="115"/>
      <c r="AM5" s="165" t="s">
        <v>684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684</v>
      </c>
      <c r="AX5" s="128"/>
      <c r="AY5" s="32"/>
      <c r="AZ5" s="287"/>
      <c r="BA5" s="287"/>
      <c r="BB5" s="287"/>
      <c r="BC5" s="287"/>
      <c r="BD5" s="287"/>
      <c r="BE5" s="287"/>
      <c r="BF5" s="115"/>
    </row>
    <row r="6" spans="1:58" x14ac:dyDescent="0.25">
      <c r="P6" s="166" t="s">
        <v>685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0.8492741240980809</v>
      </c>
      <c r="AB6" s="32"/>
      <c r="AC6" s="287"/>
      <c r="AD6" s="287"/>
      <c r="AE6" s="287"/>
      <c r="AF6" s="287"/>
      <c r="AG6" s="287"/>
      <c r="AH6" s="287"/>
      <c r="AI6" s="115"/>
      <c r="AM6" s="166" t="s">
        <v>685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685</v>
      </c>
      <c r="AX6" s="125">
        <v>0.94423085520030314</v>
      </c>
      <c r="AY6" s="32"/>
      <c r="AZ6" s="287"/>
      <c r="BA6" s="287"/>
      <c r="BB6" s="287"/>
      <c r="BC6" s="287"/>
      <c r="BD6" s="287"/>
      <c r="BE6" s="287"/>
      <c r="BF6" s="115"/>
    </row>
    <row r="7" spans="1:58" x14ac:dyDescent="0.25">
      <c r="A7" t="s">
        <v>719</v>
      </c>
      <c r="B7" t="s">
        <v>49</v>
      </c>
      <c r="C7" t="s">
        <v>729</v>
      </c>
      <c r="D7" t="s">
        <v>163</v>
      </c>
      <c r="E7" t="s">
        <v>74</v>
      </c>
      <c r="P7" s="166" t="s">
        <v>686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686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686</v>
      </c>
      <c r="AX7" s="125">
        <v>0.8915719079122959</v>
      </c>
      <c r="AY7" s="32"/>
      <c r="AZ7" s="287"/>
      <c r="BA7" s="287"/>
      <c r="BB7" s="287"/>
      <c r="BC7" s="287"/>
      <c r="BD7" s="287"/>
      <c r="BE7" s="287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687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687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687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687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688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688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688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688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689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689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689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689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690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690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M13" s="168"/>
      <c r="AN13" s="127" t="s">
        <v>695</v>
      </c>
      <c r="AO13" s="127" t="s">
        <v>696</v>
      </c>
      <c r="AP13" s="127" t="s">
        <v>697</v>
      </c>
      <c r="AQ13" s="127" t="s">
        <v>698</v>
      </c>
      <c r="AR13" s="127" t="s">
        <v>699</v>
      </c>
      <c r="AS13" s="32"/>
      <c r="AT13" s="32"/>
      <c r="AU13" s="32"/>
      <c r="AV13" s="115"/>
      <c r="AW13" s="168"/>
      <c r="AX13" s="127" t="s">
        <v>695</v>
      </c>
      <c r="AY13" s="127" t="s">
        <v>696</v>
      </c>
      <c r="AZ13" s="127" t="s">
        <v>697</v>
      </c>
      <c r="BA13" s="127" t="s">
        <v>698</v>
      </c>
      <c r="BB13" s="127" t="s">
        <v>699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691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691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691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691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692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692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692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692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693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693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693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M18" s="168"/>
      <c r="AN18" s="127" t="s">
        <v>700</v>
      </c>
      <c r="AO18" s="127" t="s">
        <v>688</v>
      </c>
      <c r="AP18" s="127" t="s">
        <v>701</v>
      </c>
      <c r="AQ18" s="127" t="s">
        <v>702</v>
      </c>
      <c r="AR18" s="127" t="s">
        <v>703</v>
      </c>
      <c r="AS18" s="127" t="s">
        <v>704</v>
      </c>
      <c r="AT18" s="127" t="s">
        <v>705</v>
      </c>
      <c r="AU18" s="127" t="s">
        <v>706</v>
      </c>
      <c r="AV18" s="115"/>
      <c r="AW18" s="168"/>
      <c r="AX18" s="127" t="s">
        <v>700</v>
      </c>
      <c r="AY18" s="127" t="s">
        <v>688</v>
      </c>
      <c r="AZ18" s="127" t="s">
        <v>701</v>
      </c>
      <c r="BA18" s="127" t="s">
        <v>702</v>
      </c>
      <c r="BB18" s="127" t="s">
        <v>703</v>
      </c>
      <c r="BC18" s="127" t="s">
        <v>704</v>
      </c>
      <c r="BD18" s="127" t="s">
        <v>705</v>
      </c>
      <c r="BE18" s="127" t="s">
        <v>706</v>
      </c>
      <c r="BF18" s="115"/>
    </row>
    <row r="19" spans="1:58" x14ac:dyDescent="0.25">
      <c r="P19" s="166" t="s">
        <v>694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694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694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694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719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719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719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729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49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49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729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746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719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749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729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741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163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684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685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686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687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688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689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690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695</v>
      </c>
      <c r="AO35" s="127" t="s">
        <v>696</v>
      </c>
      <c r="AP35" s="127" t="s">
        <v>697</v>
      </c>
      <c r="AQ35" s="127" t="s">
        <v>698</v>
      </c>
      <c r="AR35" s="127" t="s">
        <v>699</v>
      </c>
      <c r="AS35" s="32"/>
      <c r="AT35" s="32"/>
      <c r="AU35" s="32"/>
      <c r="AV35" s="115"/>
    </row>
    <row r="36" spans="39:48" x14ac:dyDescent="0.25">
      <c r="AM36" s="166" t="s">
        <v>691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692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693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700</v>
      </c>
      <c r="AO40" s="127" t="s">
        <v>688</v>
      </c>
      <c r="AP40" s="127" t="s">
        <v>701</v>
      </c>
      <c r="AQ40" s="127" t="s">
        <v>702</v>
      </c>
      <c r="AR40" s="127" t="s">
        <v>703</v>
      </c>
      <c r="AS40" s="127" t="s">
        <v>704</v>
      </c>
      <c r="AT40" s="127" t="s">
        <v>705</v>
      </c>
      <c r="AU40" s="127" t="s">
        <v>706</v>
      </c>
      <c r="AV40" s="115"/>
    </row>
    <row r="41" spans="39:48" x14ac:dyDescent="0.25">
      <c r="AM41" s="166" t="s">
        <v>694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49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729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4" t="s">
        <v>731</v>
      </c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6"/>
      <c r="AN1" s="284" t="s">
        <v>732</v>
      </c>
      <c r="AO1" s="285"/>
      <c r="AP1" s="285"/>
      <c r="AQ1" s="285"/>
      <c r="AR1" s="285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85"/>
      <c r="BD1" s="285"/>
      <c r="BE1" s="285"/>
      <c r="BF1" s="285"/>
      <c r="BG1" s="286"/>
      <c r="BJ1" s="288" t="s">
        <v>733</v>
      </c>
      <c r="BK1" s="289"/>
      <c r="BL1" s="289"/>
      <c r="BM1" s="289"/>
      <c r="BN1" s="289"/>
      <c r="BO1" s="289"/>
      <c r="BP1" s="289"/>
      <c r="BQ1" s="289"/>
      <c r="BR1" s="289"/>
      <c r="BS1" s="285"/>
      <c r="BT1" s="285"/>
      <c r="BU1" s="285"/>
      <c r="BV1" s="285"/>
      <c r="BW1" s="285"/>
      <c r="BX1" s="285"/>
      <c r="BY1" s="285"/>
      <c r="BZ1" s="285"/>
      <c r="CA1" s="285"/>
      <c r="CB1" s="285"/>
      <c r="CC1" s="286"/>
      <c r="CG1" s="284" t="s">
        <v>730</v>
      </c>
      <c r="CH1" s="285"/>
      <c r="CI1" s="285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5"/>
      <c r="CU1" s="285"/>
      <c r="CV1" s="285"/>
      <c r="CW1" s="285"/>
      <c r="CX1" s="285"/>
      <c r="CY1" s="285"/>
      <c r="CZ1" s="286"/>
    </row>
    <row r="2" spans="1:104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750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743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753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755</v>
      </c>
      <c r="BK2" s="163"/>
      <c r="BL2" s="163"/>
      <c r="BM2" s="163"/>
      <c r="BN2" s="163"/>
      <c r="BO2" s="163"/>
      <c r="BP2" s="163"/>
      <c r="BQ2" s="163"/>
      <c r="BR2" s="113"/>
      <c r="BS2" s="171" t="s">
        <v>756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759</v>
      </c>
      <c r="CH2" s="163"/>
      <c r="CI2" s="163"/>
      <c r="CJ2" s="163"/>
      <c r="CK2" s="163"/>
      <c r="CL2" s="163"/>
      <c r="CM2" s="163"/>
      <c r="CN2" s="163"/>
      <c r="CO2" s="113"/>
      <c r="CP2" s="176" t="s">
        <v>760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729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741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741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741</v>
      </c>
      <c r="BK3" s="32"/>
      <c r="BL3" s="32"/>
      <c r="BM3" s="29" t="s">
        <v>758</v>
      </c>
      <c r="BS3" s="114" t="s">
        <v>741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741</v>
      </c>
      <c r="CH3" s="32"/>
      <c r="CI3" s="32"/>
      <c r="CJ3" s="32"/>
      <c r="CK3" s="32"/>
      <c r="CL3" s="32"/>
      <c r="CM3" s="32"/>
      <c r="CN3" s="32"/>
      <c r="CO3" s="115"/>
      <c r="CP3" s="32" t="s">
        <v>741</v>
      </c>
      <c r="CQ3" s="32"/>
      <c r="CR3" s="32"/>
      <c r="CS3" s="287" t="s">
        <v>745</v>
      </c>
      <c r="CT3" s="287"/>
      <c r="CU3" s="287"/>
      <c r="CV3" s="287"/>
      <c r="CW3" s="287"/>
      <c r="CX3" s="287"/>
      <c r="CY3" s="32"/>
      <c r="CZ3" s="115"/>
    </row>
    <row r="4" spans="1:104" ht="15.75" thickBot="1" x14ac:dyDescent="0.3">
      <c r="A4" s="179" t="s">
        <v>731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7"/>
      <c r="CT4" s="287"/>
      <c r="CU4" s="287"/>
      <c r="CV4" s="287"/>
      <c r="CW4" s="287"/>
      <c r="CX4" s="287"/>
      <c r="CY4" s="32"/>
      <c r="CZ4" s="115"/>
    </row>
    <row r="5" spans="1:104" x14ac:dyDescent="0.25">
      <c r="A5" s="179" t="s">
        <v>732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684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684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684</v>
      </c>
      <c r="BK5" s="186"/>
      <c r="BL5" s="32"/>
      <c r="BS5" s="189" t="s">
        <v>684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684</v>
      </c>
      <c r="CH5" s="128"/>
      <c r="CI5" s="32"/>
      <c r="CJ5" s="32"/>
      <c r="CK5" s="32"/>
      <c r="CL5" s="32"/>
      <c r="CM5" s="32"/>
      <c r="CN5" s="32"/>
      <c r="CO5" s="115"/>
      <c r="CP5" s="128" t="s">
        <v>684</v>
      </c>
      <c r="CQ5" s="128"/>
      <c r="CR5" s="32"/>
      <c r="CS5" s="287"/>
      <c r="CT5" s="287"/>
      <c r="CU5" s="287"/>
      <c r="CV5" s="287"/>
      <c r="CW5" s="287"/>
      <c r="CX5" s="287"/>
      <c r="CY5" s="32"/>
      <c r="CZ5" s="115"/>
    </row>
    <row r="6" spans="1:104" x14ac:dyDescent="0.25">
      <c r="A6" s="179" t="s">
        <v>733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685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685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685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685</v>
      </c>
      <c r="BK6" s="125">
        <v>0.77032233253320548</v>
      </c>
      <c r="BL6" s="32"/>
      <c r="BS6" s="166" t="s">
        <v>685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685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685</v>
      </c>
      <c r="CQ6" s="125">
        <v>0.93491455262340384</v>
      </c>
      <c r="CR6" s="32"/>
      <c r="CS6" s="287"/>
      <c r="CT6" s="287"/>
      <c r="CU6" s="287"/>
      <c r="CV6" s="287"/>
      <c r="CW6" s="287"/>
      <c r="CX6" s="287"/>
      <c r="CY6" s="32"/>
      <c r="CZ6" s="115"/>
    </row>
    <row r="7" spans="1:104" x14ac:dyDescent="0.25">
      <c r="A7" s="179" t="s">
        <v>730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686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686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686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686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686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686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686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687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687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687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687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687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687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687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687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719</v>
      </c>
      <c r="B9" s="182" t="s">
        <v>49</v>
      </c>
      <c r="C9" s="182" t="s">
        <v>762</v>
      </c>
      <c r="D9" s="183" t="s">
        <v>719</v>
      </c>
      <c r="E9" s="182" t="s">
        <v>732</v>
      </c>
      <c r="F9" s="182" t="s">
        <v>729</v>
      </c>
      <c r="G9" s="182" t="s">
        <v>731</v>
      </c>
      <c r="H9" s="182" t="s">
        <v>733</v>
      </c>
      <c r="I9" s="182" t="s">
        <v>730</v>
      </c>
      <c r="J9" s="183" t="s">
        <v>719</v>
      </c>
      <c r="K9" s="182" t="s">
        <v>754</v>
      </c>
      <c r="P9" s="166" t="s">
        <v>688</v>
      </c>
      <c r="Q9" s="125">
        <v>6.7683679654095066E-2</v>
      </c>
      <c r="Y9" s="115"/>
      <c r="Z9" s="166" t="s">
        <v>688</v>
      </c>
      <c r="AA9" s="125">
        <v>7.0780186273885728E-2</v>
      </c>
      <c r="AI9" s="115"/>
      <c r="AN9" s="166" t="s">
        <v>688</v>
      </c>
      <c r="AO9" s="125">
        <v>1.311203913055883</v>
      </c>
      <c r="AW9" s="115"/>
      <c r="AX9" s="166" t="s">
        <v>688</v>
      </c>
      <c r="AY9" s="125">
        <v>1.0331077627616476</v>
      </c>
      <c r="BG9" s="115"/>
      <c r="BJ9" s="166" t="s">
        <v>688</v>
      </c>
      <c r="BK9" s="125">
        <v>0.13086865277148763</v>
      </c>
      <c r="BR9" s="115"/>
      <c r="BS9" s="166" t="s">
        <v>688</v>
      </c>
      <c r="BT9" s="125">
        <v>9.0231013355341214E-2</v>
      </c>
      <c r="CC9" s="115"/>
      <c r="CG9" s="166" t="s">
        <v>688</v>
      </c>
      <c r="CH9" s="125">
        <v>2.0749459585006128E-2</v>
      </c>
      <c r="CO9" s="115"/>
      <c r="CP9" s="125" t="s">
        <v>688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689</v>
      </c>
      <c r="Q10" s="126">
        <v>9</v>
      </c>
      <c r="Y10" s="115"/>
      <c r="Z10" s="167" t="s">
        <v>689</v>
      </c>
      <c r="AA10" s="126">
        <v>9</v>
      </c>
      <c r="AI10" s="115"/>
      <c r="AN10" s="166" t="s">
        <v>689</v>
      </c>
      <c r="AO10" s="125">
        <v>9</v>
      </c>
      <c r="AW10" s="115"/>
      <c r="AX10" s="167" t="s">
        <v>689</v>
      </c>
      <c r="AY10" s="126">
        <v>9</v>
      </c>
      <c r="BG10" s="115"/>
      <c r="BJ10" s="166" t="s">
        <v>689</v>
      </c>
      <c r="BK10" s="125">
        <v>9</v>
      </c>
      <c r="BR10" s="115"/>
      <c r="BS10" s="166" t="s">
        <v>689</v>
      </c>
      <c r="BT10" s="125">
        <v>9</v>
      </c>
      <c r="CC10" s="115"/>
      <c r="CG10" s="167" t="s">
        <v>689</v>
      </c>
      <c r="CH10" s="126">
        <v>9</v>
      </c>
      <c r="CO10" s="115"/>
      <c r="CP10" s="126" t="s">
        <v>689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690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690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690</v>
      </c>
      <c r="BK12" s="32"/>
      <c r="BL12" s="32"/>
      <c r="BM12" s="32"/>
      <c r="BN12" s="32"/>
      <c r="BO12" s="32"/>
      <c r="BP12" s="32"/>
      <c r="BQ12" s="32"/>
      <c r="BR12" s="115"/>
      <c r="BS12" s="114" t="s">
        <v>690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690</v>
      </c>
      <c r="CH12" s="32"/>
      <c r="CI12" s="32"/>
      <c r="CJ12" s="32"/>
      <c r="CK12" s="32"/>
      <c r="CL12" s="32"/>
      <c r="CM12" s="32"/>
      <c r="CN12" s="32"/>
      <c r="CO12" s="115"/>
      <c r="CP12" s="32" t="s">
        <v>690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N13" s="190"/>
      <c r="AO13" s="187" t="s">
        <v>695</v>
      </c>
      <c r="AP13" s="187" t="s">
        <v>696</v>
      </c>
      <c r="AQ13" s="187" t="s">
        <v>697</v>
      </c>
      <c r="AR13" s="187" t="s">
        <v>698</v>
      </c>
      <c r="AS13" s="187" t="s">
        <v>699</v>
      </c>
      <c r="AT13" s="32"/>
      <c r="AU13" s="32"/>
      <c r="AV13" s="32"/>
      <c r="AW13" s="115"/>
      <c r="AX13" s="168"/>
      <c r="AY13" s="127" t="s">
        <v>695</v>
      </c>
      <c r="AZ13" s="127" t="s">
        <v>696</v>
      </c>
      <c r="BA13" s="127" t="s">
        <v>697</v>
      </c>
      <c r="BB13" s="127" t="s">
        <v>698</v>
      </c>
      <c r="BC13" s="127" t="s">
        <v>699</v>
      </c>
      <c r="BD13" s="32"/>
      <c r="BE13" s="32"/>
      <c r="BF13" s="32"/>
      <c r="BG13" s="115"/>
      <c r="BJ13" s="190"/>
      <c r="BK13" s="187" t="s">
        <v>695</v>
      </c>
      <c r="BL13" s="187" t="s">
        <v>696</v>
      </c>
      <c r="BM13" s="187" t="s">
        <v>697</v>
      </c>
      <c r="BN13" s="187" t="s">
        <v>698</v>
      </c>
      <c r="BO13" s="187" t="s">
        <v>699</v>
      </c>
      <c r="BP13" s="32"/>
      <c r="BQ13" s="32"/>
      <c r="BR13" s="115"/>
      <c r="BS13" s="190"/>
      <c r="BT13" s="187" t="s">
        <v>695</v>
      </c>
      <c r="BU13" s="187" t="s">
        <v>696</v>
      </c>
      <c r="BV13" s="187" t="s">
        <v>697</v>
      </c>
      <c r="BW13" s="187" t="s">
        <v>698</v>
      </c>
      <c r="BX13" s="187" t="s">
        <v>699</v>
      </c>
      <c r="BY13" s="32"/>
      <c r="BZ13" s="32"/>
      <c r="CA13" s="32"/>
      <c r="CB13" s="32"/>
      <c r="CC13" s="115"/>
      <c r="CG13" s="168"/>
      <c r="CH13" s="127" t="s">
        <v>695</v>
      </c>
      <c r="CI13" s="127" t="s">
        <v>696</v>
      </c>
      <c r="CJ13" s="127" t="s">
        <v>697</v>
      </c>
      <c r="CK13" s="127" t="s">
        <v>698</v>
      </c>
      <c r="CL13" s="127" t="s">
        <v>699</v>
      </c>
      <c r="CM13" s="32"/>
      <c r="CN13" s="32"/>
      <c r="CO13" s="115"/>
      <c r="CP13" s="127"/>
      <c r="CQ13" s="127" t="s">
        <v>695</v>
      </c>
      <c r="CR13" s="127" t="s">
        <v>696</v>
      </c>
      <c r="CS13" s="127" t="s">
        <v>697</v>
      </c>
      <c r="CT13" s="127" t="s">
        <v>698</v>
      </c>
      <c r="CU13" s="127" t="s">
        <v>699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691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691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691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691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691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691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691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691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692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692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692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692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692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692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692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692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693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693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693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693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693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693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693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N18" s="190"/>
      <c r="AO18" s="187" t="s">
        <v>700</v>
      </c>
      <c r="AP18" s="187" t="s">
        <v>688</v>
      </c>
      <c r="AQ18" s="187" t="s">
        <v>701</v>
      </c>
      <c r="AR18" s="187" t="s">
        <v>702</v>
      </c>
      <c r="AS18" s="187" t="s">
        <v>703</v>
      </c>
      <c r="AT18" s="187" t="s">
        <v>704</v>
      </c>
      <c r="AU18" s="187" t="s">
        <v>705</v>
      </c>
      <c r="AV18" s="187" t="s">
        <v>706</v>
      </c>
      <c r="AW18" s="115"/>
      <c r="AX18" s="168"/>
      <c r="AY18" s="127" t="s">
        <v>700</v>
      </c>
      <c r="AZ18" s="127" t="s">
        <v>688</v>
      </c>
      <c r="BA18" s="127" t="s">
        <v>701</v>
      </c>
      <c r="BB18" s="127" t="s">
        <v>702</v>
      </c>
      <c r="BC18" s="127" t="s">
        <v>703</v>
      </c>
      <c r="BD18" s="127" t="s">
        <v>704</v>
      </c>
      <c r="BE18" s="127" t="s">
        <v>705</v>
      </c>
      <c r="BF18" s="127" t="s">
        <v>706</v>
      </c>
      <c r="BG18" s="115"/>
      <c r="BJ18" s="190"/>
      <c r="BK18" s="187" t="s">
        <v>700</v>
      </c>
      <c r="BL18" s="187" t="s">
        <v>688</v>
      </c>
      <c r="BM18" s="187" t="s">
        <v>701</v>
      </c>
      <c r="BN18" s="187" t="s">
        <v>702</v>
      </c>
      <c r="BO18" s="187" t="s">
        <v>703</v>
      </c>
      <c r="BP18" s="187" t="s">
        <v>704</v>
      </c>
      <c r="BQ18" s="187" t="s">
        <v>705</v>
      </c>
      <c r="BR18" s="194" t="s">
        <v>706</v>
      </c>
      <c r="BS18" s="190"/>
      <c r="BT18" s="187" t="s">
        <v>700</v>
      </c>
      <c r="BU18" s="187" t="s">
        <v>688</v>
      </c>
      <c r="BV18" s="187" t="s">
        <v>701</v>
      </c>
      <c r="BW18" s="187" t="s">
        <v>702</v>
      </c>
      <c r="BX18" s="187" t="s">
        <v>703</v>
      </c>
      <c r="BY18" s="187" t="s">
        <v>704</v>
      </c>
      <c r="BZ18" s="187" t="s">
        <v>705</v>
      </c>
      <c r="CA18" s="187" t="s">
        <v>706</v>
      </c>
      <c r="CB18" s="32"/>
      <c r="CC18" s="115"/>
      <c r="CG18" s="168"/>
      <c r="CH18" s="127" t="s">
        <v>700</v>
      </c>
      <c r="CI18" s="127" t="s">
        <v>688</v>
      </c>
      <c r="CJ18" s="127" t="s">
        <v>701</v>
      </c>
      <c r="CK18" s="127" t="s">
        <v>702</v>
      </c>
      <c r="CL18" s="127" t="s">
        <v>703</v>
      </c>
      <c r="CM18" s="127" t="s">
        <v>704</v>
      </c>
      <c r="CN18" s="127" t="s">
        <v>705</v>
      </c>
      <c r="CO18" s="191" t="s">
        <v>706</v>
      </c>
      <c r="CP18" s="127"/>
      <c r="CQ18" s="127" t="s">
        <v>700</v>
      </c>
      <c r="CR18" s="127" t="s">
        <v>688</v>
      </c>
      <c r="CS18" s="127" t="s">
        <v>701</v>
      </c>
      <c r="CT18" s="127" t="s">
        <v>702</v>
      </c>
      <c r="CU18" s="127" t="s">
        <v>703</v>
      </c>
      <c r="CV18" s="127" t="s">
        <v>704</v>
      </c>
      <c r="CW18" s="127" t="s">
        <v>705</v>
      </c>
      <c r="CX18" s="127" t="s">
        <v>706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694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694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694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694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694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694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694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694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719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49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719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719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754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719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719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729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746</v>
      </c>
      <c r="P21" s="167" t="s">
        <v>49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729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49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754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754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49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719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744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752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757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729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731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741</v>
      </c>
      <c r="AO23" s="32"/>
      <c r="AP23" s="32"/>
      <c r="AQ23" s="287" t="s">
        <v>745</v>
      </c>
      <c r="AR23" s="287"/>
      <c r="AS23" s="287"/>
      <c r="AT23" s="287"/>
      <c r="AU23" s="287"/>
      <c r="AV23" s="287"/>
      <c r="AW23" s="115"/>
      <c r="BJ23" s="114" t="s">
        <v>741</v>
      </c>
      <c r="BK23" s="32"/>
      <c r="BL23" s="32"/>
      <c r="BM23" s="32"/>
      <c r="BN23" s="32"/>
      <c r="BO23" s="32"/>
      <c r="BP23" s="32"/>
      <c r="BQ23" s="32"/>
      <c r="BR23" s="115"/>
      <c r="BS23" s="114" t="s">
        <v>741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761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732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751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752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7"/>
      <c r="AR24" s="287"/>
      <c r="AS24" s="287"/>
      <c r="AT24" s="287"/>
      <c r="AU24" s="287"/>
      <c r="AV24" s="287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741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733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741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741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684</v>
      </c>
      <c r="AO25" s="128"/>
      <c r="AP25" s="32"/>
      <c r="AQ25" s="287"/>
      <c r="AR25" s="287"/>
      <c r="AS25" s="287"/>
      <c r="AT25" s="287"/>
      <c r="AU25" s="287"/>
      <c r="AV25" s="287"/>
      <c r="AW25" s="115"/>
      <c r="BJ25" s="165" t="s">
        <v>684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684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730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685</v>
      </c>
      <c r="AO26" s="125">
        <v>0.863198214162473</v>
      </c>
      <c r="AP26" s="32"/>
      <c r="AQ26" s="287"/>
      <c r="AR26" s="287"/>
      <c r="AS26" s="287"/>
      <c r="AT26" s="287"/>
      <c r="AU26" s="287"/>
      <c r="AV26" s="287"/>
      <c r="AW26" s="115"/>
      <c r="BJ26" s="166" t="s">
        <v>685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685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684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684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684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686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686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686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685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685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685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687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687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687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686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686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686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688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688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688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687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687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687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689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689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689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688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688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688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689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689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689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690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690</v>
      </c>
      <c r="BK32" s="32"/>
      <c r="BL32" s="32"/>
      <c r="BM32" s="32"/>
      <c r="BN32" s="32"/>
      <c r="BO32" s="32"/>
      <c r="BP32" s="32"/>
      <c r="BQ32" s="32"/>
      <c r="BR32" s="115"/>
      <c r="BS32" s="114" t="s">
        <v>690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695</v>
      </c>
      <c r="AP33" s="127" t="s">
        <v>696</v>
      </c>
      <c r="AQ33" s="127" t="s">
        <v>697</v>
      </c>
      <c r="AR33" s="127" t="s">
        <v>698</v>
      </c>
      <c r="AS33" s="127" t="s">
        <v>699</v>
      </c>
      <c r="AT33" s="32"/>
      <c r="AU33" s="32"/>
      <c r="AV33" s="32"/>
      <c r="AW33" s="115"/>
      <c r="BJ33" s="168"/>
      <c r="BK33" s="127" t="s">
        <v>695</v>
      </c>
      <c r="BL33" s="127" t="s">
        <v>696</v>
      </c>
      <c r="BM33" s="127" t="s">
        <v>697</v>
      </c>
      <c r="BN33" s="127" t="s">
        <v>698</v>
      </c>
      <c r="BO33" s="127" t="s">
        <v>699</v>
      </c>
      <c r="BP33" s="32"/>
      <c r="BQ33" s="32"/>
      <c r="BR33" s="115"/>
      <c r="BS33" s="168"/>
      <c r="BT33" s="127" t="s">
        <v>695</v>
      </c>
      <c r="BU33" s="127" t="s">
        <v>696</v>
      </c>
      <c r="BV33" s="127" t="s">
        <v>697</v>
      </c>
      <c r="BW33" s="127" t="s">
        <v>698</v>
      </c>
      <c r="BX33" s="127" t="s">
        <v>699</v>
      </c>
      <c r="BY33" s="32"/>
      <c r="BZ33" s="32"/>
      <c r="CA33" s="32"/>
      <c r="CB33" s="32"/>
      <c r="CC33" s="115"/>
      <c r="CG33" s="114" t="s">
        <v>690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690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690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691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691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691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695</v>
      </c>
      <c r="CI34" s="127" t="s">
        <v>696</v>
      </c>
      <c r="CJ34" s="127" t="s">
        <v>697</v>
      </c>
      <c r="CK34" s="127" t="s">
        <v>698</v>
      </c>
      <c r="CL34" s="127" t="s">
        <v>699</v>
      </c>
      <c r="CM34" s="32"/>
      <c r="CN34" s="32"/>
      <c r="CO34" s="115"/>
    </row>
    <row r="35" spans="16:93" x14ac:dyDescent="0.25">
      <c r="P35" s="168"/>
      <c r="Q35" s="127" t="s">
        <v>695</v>
      </c>
      <c r="R35" s="127" t="s">
        <v>696</v>
      </c>
      <c r="S35" s="127" t="s">
        <v>697</v>
      </c>
      <c r="T35" s="127" t="s">
        <v>698</v>
      </c>
      <c r="U35" s="127" t="s">
        <v>699</v>
      </c>
      <c r="V35" s="32"/>
      <c r="W35" s="32"/>
      <c r="X35" s="32"/>
      <c r="Y35" s="115"/>
      <c r="Z35" s="168"/>
      <c r="AA35" s="127" t="s">
        <v>695</v>
      </c>
      <c r="AB35" s="127" t="s">
        <v>696</v>
      </c>
      <c r="AC35" s="127" t="s">
        <v>697</v>
      </c>
      <c r="AD35" s="127" t="s">
        <v>698</v>
      </c>
      <c r="AE35" s="127" t="s">
        <v>699</v>
      </c>
      <c r="AF35" s="32"/>
      <c r="AG35" s="32"/>
      <c r="AH35" s="32"/>
      <c r="AI35" s="115"/>
      <c r="AN35" s="166" t="s">
        <v>692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692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692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691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691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691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693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693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693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692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692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692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693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693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693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700</v>
      </c>
      <c r="AP38" s="127" t="s">
        <v>688</v>
      </c>
      <c r="AQ38" s="127" t="s">
        <v>701</v>
      </c>
      <c r="AR38" s="127" t="s">
        <v>702</v>
      </c>
      <c r="AS38" s="127" t="s">
        <v>703</v>
      </c>
      <c r="AT38" s="127" t="s">
        <v>704</v>
      </c>
      <c r="AU38" s="127" t="s">
        <v>705</v>
      </c>
      <c r="AV38" s="127" t="s">
        <v>706</v>
      </c>
      <c r="AW38" s="115"/>
      <c r="BJ38" s="168"/>
      <c r="BK38" s="127" t="s">
        <v>700</v>
      </c>
      <c r="BL38" s="127" t="s">
        <v>688</v>
      </c>
      <c r="BM38" s="127" t="s">
        <v>701</v>
      </c>
      <c r="BN38" s="127" t="s">
        <v>702</v>
      </c>
      <c r="BO38" s="127" t="s">
        <v>703</v>
      </c>
      <c r="BP38" s="127" t="s">
        <v>704</v>
      </c>
      <c r="BQ38" s="127" t="s">
        <v>705</v>
      </c>
      <c r="BR38" s="191" t="s">
        <v>706</v>
      </c>
      <c r="BS38" s="168"/>
      <c r="BT38" s="127" t="s">
        <v>700</v>
      </c>
      <c r="BU38" s="127" t="s">
        <v>688</v>
      </c>
      <c r="BV38" s="127" t="s">
        <v>701</v>
      </c>
      <c r="BW38" s="127" t="s">
        <v>702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694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694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694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700</v>
      </c>
      <c r="CI39" s="127" t="s">
        <v>688</v>
      </c>
      <c r="CJ39" s="127" t="s">
        <v>701</v>
      </c>
      <c r="CK39" s="127" t="s">
        <v>702</v>
      </c>
      <c r="CL39" s="127" t="s">
        <v>703</v>
      </c>
      <c r="CM39" s="127" t="s">
        <v>704</v>
      </c>
      <c r="CN39" s="127" t="s">
        <v>705</v>
      </c>
      <c r="CO39" s="191" t="s">
        <v>706</v>
      </c>
    </row>
    <row r="40" spans="16:93" ht="15.75" thickBot="1" x14ac:dyDescent="0.3">
      <c r="P40" s="168"/>
      <c r="Q40" s="127" t="s">
        <v>700</v>
      </c>
      <c r="R40" s="127" t="s">
        <v>688</v>
      </c>
      <c r="S40" s="127" t="s">
        <v>701</v>
      </c>
      <c r="T40" s="127" t="s">
        <v>702</v>
      </c>
      <c r="U40" s="127" t="s">
        <v>703</v>
      </c>
      <c r="V40" s="127" t="s">
        <v>704</v>
      </c>
      <c r="W40" s="127" t="s">
        <v>705</v>
      </c>
      <c r="X40" s="127" t="s">
        <v>706</v>
      </c>
      <c r="Y40" s="115"/>
      <c r="Z40" s="168"/>
      <c r="AA40" s="127" t="s">
        <v>700</v>
      </c>
      <c r="AB40" s="127" t="s">
        <v>688</v>
      </c>
      <c r="AC40" s="127" t="s">
        <v>701</v>
      </c>
      <c r="AD40" s="127" t="s">
        <v>702</v>
      </c>
      <c r="AE40" s="127" t="s">
        <v>703</v>
      </c>
      <c r="AF40" s="127" t="s">
        <v>704</v>
      </c>
      <c r="AG40" s="127" t="s">
        <v>705</v>
      </c>
      <c r="AH40" s="127" t="s">
        <v>706</v>
      </c>
      <c r="AI40" s="115"/>
      <c r="AN40" s="167" t="s">
        <v>719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49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719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694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694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694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49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719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729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49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744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729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741</v>
      </c>
      <c r="BK43" s="32"/>
      <c r="BL43" s="32"/>
      <c r="BM43" s="287" t="s">
        <v>745</v>
      </c>
      <c r="BN43" s="287"/>
      <c r="BO43" s="287"/>
      <c r="BP43" s="287"/>
      <c r="BQ43" s="287"/>
      <c r="BR43" s="287"/>
    </row>
    <row r="44" spans="16:93" ht="15.75" thickBot="1" x14ac:dyDescent="0.3">
      <c r="BJ44" s="114"/>
      <c r="BK44" s="32"/>
      <c r="BL44" s="32"/>
      <c r="BM44" s="287"/>
      <c r="BN44" s="287"/>
      <c r="BO44" s="287"/>
      <c r="BP44" s="287"/>
      <c r="BQ44" s="287"/>
      <c r="BR44" s="287"/>
    </row>
    <row r="45" spans="16:93" x14ac:dyDescent="0.25">
      <c r="BJ45" s="165" t="s">
        <v>684</v>
      </c>
      <c r="BK45" s="128"/>
      <c r="BL45" s="32"/>
      <c r="BM45" s="287"/>
      <c r="BN45" s="287"/>
      <c r="BO45" s="287"/>
      <c r="BP45" s="287"/>
      <c r="BQ45" s="287"/>
      <c r="BR45" s="287"/>
    </row>
    <row r="46" spans="16:93" x14ac:dyDescent="0.25">
      <c r="BJ46" s="166" t="s">
        <v>685</v>
      </c>
      <c r="BK46" s="125">
        <v>0.90559966742115783</v>
      </c>
      <c r="BL46" s="32"/>
      <c r="BM46" s="287"/>
      <c r="BN46" s="287"/>
      <c r="BO46" s="287"/>
      <c r="BP46" s="287"/>
      <c r="BQ46" s="287"/>
      <c r="BR46" s="287"/>
    </row>
    <row r="47" spans="16:93" x14ac:dyDescent="0.25">
      <c r="BJ47" s="166" t="s">
        <v>686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687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688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689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690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695</v>
      </c>
      <c r="BL53" s="127" t="s">
        <v>696</v>
      </c>
      <c r="BM53" s="127" t="s">
        <v>697</v>
      </c>
      <c r="BN53" s="127" t="s">
        <v>698</v>
      </c>
      <c r="BO53" s="127" t="s">
        <v>699</v>
      </c>
      <c r="BP53" s="32"/>
      <c r="BQ53" s="32"/>
      <c r="BR53" s="115"/>
    </row>
    <row r="54" spans="62:70" x14ac:dyDescent="0.25">
      <c r="BJ54" s="166" t="s">
        <v>691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692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693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700</v>
      </c>
      <c r="BL58" s="127" t="s">
        <v>688</v>
      </c>
      <c r="BM58" s="127" t="s">
        <v>701</v>
      </c>
      <c r="BN58" s="127" t="s">
        <v>702</v>
      </c>
      <c r="BO58" s="127" t="s">
        <v>703</v>
      </c>
      <c r="BP58" s="127" t="s">
        <v>704</v>
      </c>
      <c r="BQ58" s="127" t="s">
        <v>705</v>
      </c>
      <c r="BR58" s="191" t="s">
        <v>706</v>
      </c>
    </row>
    <row r="59" spans="62:70" x14ac:dyDescent="0.25">
      <c r="BJ59" s="166" t="s">
        <v>694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719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4" t="s">
        <v>734</v>
      </c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5"/>
      <c r="AP1" s="286"/>
      <c r="AV1" s="284" t="s">
        <v>399</v>
      </c>
      <c r="AW1" s="285"/>
      <c r="AX1" s="285"/>
      <c r="AY1" s="285"/>
      <c r="AZ1" s="285"/>
      <c r="BA1" s="285"/>
      <c r="BB1" s="285"/>
      <c r="BC1" s="285"/>
      <c r="BD1" s="285"/>
      <c r="BE1" s="285"/>
      <c r="BF1" s="285"/>
      <c r="BG1" s="285"/>
      <c r="BH1" s="285"/>
      <c r="BI1" s="285"/>
      <c r="BJ1" s="285"/>
      <c r="BK1" s="285"/>
      <c r="BL1" s="285"/>
      <c r="BM1" s="285"/>
      <c r="BN1" s="285"/>
      <c r="BO1" s="286"/>
      <c r="BT1" s="284" t="s">
        <v>735</v>
      </c>
      <c r="BU1" s="285"/>
      <c r="BV1" s="285"/>
      <c r="BW1" s="285"/>
      <c r="BX1" s="285"/>
      <c r="BY1" s="285"/>
      <c r="BZ1" s="285"/>
      <c r="CA1" s="285"/>
      <c r="CB1" s="285"/>
      <c r="CC1" s="285"/>
      <c r="CD1" s="285"/>
      <c r="CE1" s="285"/>
      <c r="CF1" s="285"/>
      <c r="CG1" s="285"/>
      <c r="CH1" s="285"/>
      <c r="CI1" s="285"/>
      <c r="CJ1" s="285"/>
      <c r="CK1" s="285"/>
      <c r="CL1" s="285"/>
      <c r="CM1" s="286"/>
    </row>
    <row r="2" spans="1:92" ht="15.75" thickBot="1" x14ac:dyDescent="0.3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775</v>
      </c>
      <c r="X2" s="163"/>
      <c r="Y2" s="163"/>
      <c r="Z2" s="163"/>
      <c r="AA2" s="163"/>
      <c r="AB2" s="163"/>
      <c r="AC2" s="163"/>
      <c r="AD2" s="163"/>
      <c r="AE2" s="113"/>
      <c r="AF2" s="171" t="s">
        <v>776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786</v>
      </c>
      <c r="AW2" s="163"/>
      <c r="AX2" s="212" t="s">
        <v>745</v>
      </c>
      <c r="AY2" s="212"/>
      <c r="AZ2" s="212"/>
      <c r="BA2" s="212"/>
      <c r="BB2" s="212"/>
      <c r="BC2" s="212"/>
      <c r="BD2" s="113"/>
      <c r="BE2" s="176" t="s">
        <v>787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786</v>
      </c>
      <c r="BU2" s="163"/>
      <c r="BV2" s="163"/>
      <c r="BW2" s="163"/>
      <c r="BX2" s="163"/>
      <c r="BY2" s="163"/>
      <c r="BZ2" s="163"/>
      <c r="CA2" s="163"/>
      <c r="CB2" s="113"/>
      <c r="CC2" s="171" t="s">
        <v>793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779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684</v>
      </c>
      <c r="X3" s="127"/>
      <c r="Y3" s="32"/>
      <c r="Z3" s="32"/>
      <c r="AA3" s="32"/>
      <c r="AB3" s="32"/>
      <c r="AC3" s="32"/>
      <c r="AD3" s="32"/>
      <c r="AE3" s="115"/>
      <c r="AF3" s="168" t="s">
        <v>684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684</v>
      </c>
      <c r="AW3" s="127"/>
      <c r="AX3" s="212"/>
      <c r="AY3" s="212"/>
      <c r="AZ3" s="212"/>
      <c r="BA3" s="212"/>
      <c r="BB3" s="212"/>
      <c r="BC3" s="212"/>
      <c r="BD3" s="115"/>
      <c r="BE3" s="127" t="s">
        <v>684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684</v>
      </c>
      <c r="BU3" s="127"/>
      <c r="BV3" s="32"/>
      <c r="BW3" s="32"/>
      <c r="BX3" s="32"/>
      <c r="BY3" s="32"/>
      <c r="BZ3" s="32"/>
      <c r="CA3" s="32"/>
      <c r="CB3" s="115"/>
      <c r="CC3" s="168" t="s">
        <v>684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739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741</v>
      </c>
      <c r="X4" s="32"/>
      <c r="Y4" s="32"/>
      <c r="Z4" s="32"/>
      <c r="AA4" s="32"/>
      <c r="AB4" s="32"/>
      <c r="AC4" s="32"/>
      <c r="AD4" s="32"/>
      <c r="AE4" s="115"/>
      <c r="AF4" s="114" t="s">
        <v>741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741</v>
      </c>
      <c r="AW4" s="32"/>
      <c r="AX4" s="212"/>
      <c r="AY4" s="212"/>
      <c r="AZ4" s="212"/>
      <c r="BA4" s="212"/>
      <c r="BB4" s="212"/>
      <c r="BC4" s="212"/>
      <c r="BD4" s="115"/>
      <c r="BE4" s="32" t="s">
        <v>741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741</v>
      </c>
      <c r="BU4" s="32"/>
      <c r="BV4" s="32"/>
      <c r="BW4" s="32"/>
      <c r="BX4" s="32"/>
      <c r="BY4" s="32"/>
      <c r="BZ4" s="32"/>
      <c r="CA4" s="32"/>
      <c r="CB4" s="115"/>
      <c r="CC4" s="114" t="s">
        <v>741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404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779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684</v>
      </c>
      <c r="X6" s="127"/>
      <c r="Y6" s="32"/>
      <c r="Z6" s="32"/>
      <c r="AA6" s="32"/>
      <c r="AB6" s="32"/>
      <c r="AC6" s="32"/>
      <c r="AD6" s="32"/>
      <c r="AE6" s="115"/>
      <c r="AF6" s="168" t="s">
        <v>684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684</v>
      </c>
      <c r="AW6" s="127"/>
      <c r="AX6" s="212"/>
      <c r="AY6" s="212"/>
      <c r="AZ6" s="212"/>
      <c r="BA6" s="212"/>
      <c r="BB6" s="212"/>
      <c r="BC6" s="212"/>
      <c r="BD6" s="115"/>
      <c r="BE6" s="127" t="s">
        <v>684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684</v>
      </c>
      <c r="BU6" s="127"/>
      <c r="BV6" s="32"/>
      <c r="BW6" s="32"/>
      <c r="BX6" s="32"/>
      <c r="BY6" s="32"/>
      <c r="BZ6" s="32"/>
      <c r="CA6" s="32"/>
      <c r="CB6" s="115"/>
      <c r="CC6" s="168" t="s">
        <v>684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307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685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685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685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685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685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685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782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686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686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686</v>
      </c>
      <c r="AW8" s="125">
        <v>0.76997513503619119</v>
      </c>
      <c r="AX8" s="291" t="s">
        <v>790</v>
      </c>
      <c r="AY8" s="291"/>
      <c r="AZ8" s="291"/>
      <c r="BA8" s="291"/>
      <c r="BB8" s="291"/>
      <c r="BC8" s="291"/>
      <c r="BD8" s="115"/>
      <c r="BE8" s="125" t="s">
        <v>686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686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686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785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687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687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687</v>
      </c>
      <c r="AW9" s="129">
        <v>0.73711444004136095</v>
      </c>
      <c r="AX9" s="291"/>
      <c r="AY9" s="291"/>
      <c r="AZ9" s="291"/>
      <c r="BA9" s="291"/>
      <c r="BB9" s="291"/>
      <c r="BC9" s="291"/>
      <c r="BD9" s="115"/>
      <c r="BE9" s="125" t="s">
        <v>687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687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687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774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688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688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688</v>
      </c>
      <c r="AW10" s="125">
        <v>3.1517680830612751E-2</v>
      </c>
      <c r="AX10" s="291"/>
      <c r="AY10" s="291"/>
      <c r="AZ10" s="291"/>
      <c r="BA10" s="291"/>
      <c r="BB10" s="291"/>
      <c r="BC10" s="291"/>
      <c r="BD10" s="115"/>
      <c r="BE10" s="125" t="s">
        <v>688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688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688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734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689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689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689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689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689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689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399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796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690</v>
      </c>
      <c r="X13" s="32"/>
      <c r="Y13" s="32"/>
      <c r="Z13" s="32"/>
      <c r="AA13" s="32"/>
      <c r="AB13" s="32"/>
      <c r="AC13" s="32"/>
      <c r="AD13" s="32"/>
      <c r="AE13" s="115"/>
      <c r="AF13" s="114" t="s">
        <v>690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690</v>
      </c>
      <c r="AW13" s="32"/>
      <c r="AX13" s="32"/>
      <c r="AY13" s="32"/>
      <c r="AZ13" s="32"/>
      <c r="BA13" s="32"/>
      <c r="BB13" s="32"/>
      <c r="BC13" s="32"/>
      <c r="BD13" s="115"/>
      <c r="BE13" s="32" t="s">
        <v>690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690</v>
      </c>
      <c r="BU13" s="32"/>
      <c r="BV13" s="32"/>
      <c r="BW13" s="32"/>
      <c r="BX13" s="32"/>
      <c r="BY13" s="32"/>
      <c r="BZ13" s="32"/>
      <c r="CA13" s="32"/>
      <c r="CB13" s="115"/>
      <c r="CC13" s="114" t="s">
        <v>690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797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695</v>
      </c>
      <c r="Y14" s="127" t="s">
        <v>696</v>
      </c>
      <c r="Z14" s="127" t="s">
        <v>697</v>
      </c>
      <c r="AA14" s="127" t="s">
        <v>698</v>
      </c>
      <c r="AB14" s="127" t="s">
        <v>699</v>
      </c>
      <c r="AC14" s="32"/>
      <c r="AD14" s="32"/>
      <c r="AE14" s="115"/>
      <c r="AF14" s="168"/>
      <c r="AG14" s="127" t="s">
        <v>695</v>
      </c>
      <c r="AH14" s="127" t="s">
        <v>696</v>
      </c>
      <c r="AI14" s="127" t="s">
        <v>697</v>
      </c>
      <c r="AJ14" s="127" t="s">
        <v>698</v>
      </c>
      <c r="AK14" s="127" t="s">
        <v>699</v>
      </c>
      <c r="AL14" s="32"/>
      <c r="AM14" s="32"/>
      <c r="AN14" s="32"/>
      <c r="AO14" s="32"/>
      <c r="AP14" s="115"/>
      <c r="AV14" s="168"/>
      <c r="AW14" s="127" t="s">
        <v>695</v>
      </c>
      <c r="AX14" s="127" t="s">
        <v>696</v>
      </c>
      <c r="AY14" s="127" t="s">
        <v>697</v>
      </c>
      <c r="AZ14" s="127" t="s">
        <v>698</v>
      </c>
      <c r="BA14" s="127" t="s">
        <v>699</v>
      </c>
      <c r="BB14" s="32"/>
      <c r="BC14" s="32"/>
      <c r="BD14" s="115"/>
      <c r="BE14" s="127"/>
      <c r="BF14" s="127" t="s">
        <v>695</v>
      </c>
      <c r="BG14" s="127" t="s">
        <v>696</v>
      </c>
      <c r="BH14" s="127" t="s">
        <v>697</v>
      </c>
      <c r="BI14" s="127" t="s">
        <v>698</v>
      </c>
      <c r="BJ14" s="127" t="s">
        <v>699</v>
      </c>
      <c r="BK14" s="32"/>
      <c r="BL14" s="32"/>
      <c r="BM14" s="32"/>
      <c r="BN14" s="32"/>
      <c r="BO14" s="115"/>
      <c r="BT14" s="168"/>
      <c r="BU14" s="127" t="s">
        <v>695</v>
      </c>
      <c r="BV14" s="127" t="s">
        <v>696</v>
      </c>
      <c r="BW14" s="127" t="s">
        <v>697</v>
      </c>
      <c r="BX14" s="127" t="s">
        <v>698</v>
      </c>
      <c r="BY14" s="127" t="s">
        <v>699</v>
      </c>
      <c r="BZ14" s="32"/>
      <c r="CA14" s="32"/>
      <c r="CB14" s="115"/>
      <c r="CC14" s="168"/>
      <c r="CD14" s="127" t="s">
        <v>695</v>
      </c>
      <c r="CE14" s="127" t="s">
        <v>696</v>
      </c>
      <c r="CF14" s="127" t="s">
        <v>697</v>
      </c>
      <c r="CG14" s="127" t="s">
        <v>698</v>
      </c>
      <c r="CH14" s="127" t="s">
        <v>699</v>
      </c>
      <c r="CI14" s="32"/>
      <c r="CJ14" s="32"/>
      <c r="CK14" s="32"/>
      <c r="CL14" s="32"/>
      <c r="CM14" s="115"/>
    </row>
    <row r="15" spans="1:92" x14ac:dyDescent="0.25">
      <c r="A15" s="179" t="s">
        <v>735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691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691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691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691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691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691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1049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692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692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692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692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692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692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1048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693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693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693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693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693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693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1036</v>
      </c>
      <c r="B19" s="50"/>
      <c r="W19" s="168"/>
      <c r="X19" s="127" t="s">
        <v>700</v>
      </c>
      <c r="Y19" s="127" t="s">
        <v>688</v>
      </c>
      <c r="Z19" s="127" t="s">
        <v>701</v>
      </c>
      <c r="AA19" s="127" t="s">
        <v>702</v>
      </c>
      <c r="AB19" s="127" t="s">
        <v>703</v>
      </c>
      <c r="AC19" s="127" t="s">
        <v>704</v>
      </c>
      <c r="AD19" s="127" t="s">
        <v>705</v>
      </c>
      <c r="AE19" s="191" t="s">
        <v>706</v>
      </c>
      <c r="AF19" s="168"/>
      <c r="AG19" s="127" t="s">
        <v>700</v>
      </c>
      <c r="AH19" s="127" t="s">
        <v>688</v>
      </c>
      <c r="AI19" s="127" t="s">
        <v>701</v>
      </c>
      <c r="AJ19" s="127" t="s">
        <v>702</v>
      </c>
      <c r="AK19" s="127" t="s">
        <v>703</v>
      </c>
      <c r="AL19" s="127" t="s">
        <v>704</v>
      </c>
      <c r="AM19" s="127" t="s">
        <v>705</v>
      </c>
      <c r="AN19" s="127" t="s">
        <v>706</v>
      </c>
      <c r="AO19" s="32"/>
      <c r="AP19" s="115"/>
      <c r="AW19" s="168"/>
      <c r="AX19" s="127" t="s">
        <v>700</v>
      </c>
      <c r="AY19" s="127" t="s">
        <v>688</v>
      </c>
      <c r="AZ19" s="127" t="s">
        <v>701</v>
      </c>
      <c r="BA19" s="127" t="s">
        <v>702</v>
      </c>
      <c r="BB19" s="127" t="s">
        <v>703</v>
      </c>
      <c r="BC19" s="127" t="s">
        <v>704</v>
      </c>
      <c r="BD19" s="127" t="s">
        <v>705</v>
      </c>
      <c r="BE19" s="191" t="s">
        <v>706</v>
      </c>
      <c r="BF19" s="127"/>
      <c r="BG19" s="127" t="s">
        <v>700</v>
      </c>
      <c r="BH19" s="127" t="s">
        <v>688</v>
      </c>
      <c r="BI19" s="127" t="s">
        <v>701</v>
      </c>
      <c r="BJ19" s="127" t="s">
        <v>702</v>
      </c>
      <c r="BK19" s="127" t="s">
        <v>703</v>
      </c>
      <c r="BL19" s="127" t="s">
        <v>704</v>
      </c>
      <c r="BM19" s="127" t="s">
        <v>705</v>
      </c>
      <c r="BN19" s="127" t="s">
        <v>706</v>
      </c>
      <c r="BO19" s="32"/>
      <c r="BP19" s="115"/>
      <c r="BU19" s="168"/>
      <c r="BV19" s="127" t="s">
        <v>700</v>
      </c>
      <c r="BW19" s="127" t="s">
        <v>688</v>
      </c>
      <c r="BX19" s="127" t="s">
        <v>701</v>
      </c>
      <c r="BY19" s="127" t="s">
        <v>702</v>
      </c>
      <c r="BZ19" s="127" t="s">
        <v>703</v>
      </c>
      <c r="CA19" s="127" t="s">
        <v>704</v>
      </c>
      <c r="CB19" s="127" t="s">
        <v>705</v>
      </c>
      <c r="CC19" s="191" t="s">
        <v>706</v>
      </c>
      <c r="CD19" s="168"/>
      <c r="CE19" s="127" t="s">
        <v>700</v>
      </c>
      <c r="CF19" s="127" t="s">
        <v>688</v>
      </c>
      <c r="CG19" s="127" t="s">
        <v>701</v>
      </c>
      <c r="CH19" s="127" t="s">
        <v>702</v>
      </c>
      <c r="CI19" s="127" t="s">
        <v>703</v>
      </c>
      <c r="CJ19" s="127" t="s">
        <v>704</v>
      </c>
      <c r="CK19" s="127" t="s">
        <v>705</v>
      </c>
      <c r="CL19" s="127" t="s">
        <v>706</v>
      </c>
      <c r="CM19" s="32"/>
      <c r="CN19" s="115"/>
    </row>
    <row r="20" spans="1:92" x14ac:dyDescent="0.25">
      <c r="A20" t="s">
        <v>792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694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694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694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694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694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694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791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404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404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782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782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782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739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1050</v>
      </c>
      <c r="B22" s="136">
        <f>SUM($B$20:$H$20,J20)/SUM($B$7:$H$7,J7)</f>
        <v>0.18329684078823894</v>
      </c>
      <c r="W22" s="166" t="s">
        <v>307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785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794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795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774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788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789</v>
      </c>
      <c r="BU23" s="114" t="s">
        <v>741</v>
      </c>
      <c r="BV23" s="32"/>
      <c r="BW23" s="32"/>
      <c r="BX23" s="32"/>
      <c r="BY23" s="32"/>
      <c r="BZ23" s="32"/>
      <c r="CA23" s="32"/>
      <c r="CB23" s="32"/>
      <c r="CC23" s="115"/>
      <c r="CD23" s="114" t="s">
        <v>741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1037</v>
      </c>
      <c r="W24" s="171" t="s">
        <v>777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778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741</v>
      </c>
      <c r="AX24" s="32"/>
      <c r="AY24" s="32"/>
      <c r="AZ24" s="32"/>
      <c r="BA24" s="32"/>
      <c r="BB24" s="32"/>
      <c r="BC24" s="32"/>
      <c r="BD24" s="32"/>
      <c r="BE24" s="115"/>
      <c r="BF24" t="s">
        <v>741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792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684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684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791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684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684</v>
      </c>
      <c r="BG26" s="128"/>
      <c r="BU26" s="166" t="s">
        <v>685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685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1035</v>
      </c>
      <c r="B27" s="136">
        <f>SUM(B25:I25)/SUM(B10:I10)</f>
        <v>0.18748188930744714</v>
      </c>
      <c r="W27" s="168" t="s">
        <v>684</v>
      </c>
      <c r="X27" s="127"/>
      <c r="Y27" s="32"/>
      <c r="Z27" s="32"/>
      <c r="AA27" s="32"/>
      <c r="AB27" s="32"/>
      <c r="AC27" s="32"/>
      <c r="AD27" s="32"/>
      <c r="AE27" s="115"/>
      <c r="AF27" s="168" t="s">
        <v>684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685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685</v>
      </c>
      <c r="BG27" s="125">
        <v>0.19252157717385091</v>
      </c>
      <c r="BU27" s="166" t="s">
        <v>686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686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685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686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686</v>
      </c>
      <c r="BG28" s="125">
        <v>3.7064557677507035E-2</v>
      </c>
      <c r="BU28" s="166" t="s">
        <v>687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687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734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686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687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687</v>
      </c>
      <c r="BG29" s="125">
        <v>-0.10049764836856338</v>
      </c>
      <c r="BU29" s="166" t="s">
        <v>688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688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1040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687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687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688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688</v>
      </c>
      <c r="BG30" s="125">
        <v>6.4486001194169779E-2</v>
      </c>
      <c r="BU30" s="167" t="s">
        <v>689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689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1041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688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689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689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1042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690</v>
      </c>
      <c r="BV32" s="32"/>
      <c r="BW32" s="32"/>
      <c r="BX32" s="32"/>
      <c r="BY32" s="32"/>
      <c r="BZ32" s="32"/>
      <c r="CA32" s="32"/>
      <c r="CB32" s="32"/>
      <c r="CC32" s="115"/>
      <c r="CD32" s="114" t="s">
        <v>690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1043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690</v>
      </c>
      <c r="AX33" s="32"/>
      <c r="AY33" s="32"/>
      <c r="AZ33" s="32"/>
      <c r="BA33" s="32"/>
      <c r="BB33" s="32"/>
      <c r="BC33" s="32"/>
      <c r="BD33" s="32"/>
      <c r="BE33" s="115"/>
      <c r="BF33" t="s">
        <v>690</v>
      </c>
      <c r="BU33" s="168"/>
      <c r="BV33" s="127" t="s">
        <v>695</v>
      </c>
      <c r="BW33" s="127" t="s">
        <v>696</v>
      </c>
      <c r="BX33" s="127" t="s">
        <v>697</v>
      </c>
      <c r="BY33" s="127" t="s">
        <v>698</v>
      </c>
      <c r="BZ33" s="127" t="s">
        <v>699</v>
      </c>
      <c r="CA33" s="32"/>
      <c r="CB33" s="32"/>
      <c r="CC33" s="115"/>
      <c r="CD33" s="168"/>
      <c r="CE33" s="127" t="s">
        <v>695</v>
      </c>
      <c r="CF33" s="127" t="s">
        <v>696</v>
      </c>
      <c r="CG33" s="127" t="s">
        <v>697</v>
      </c>
      <c r="CH33" s="127" t="s">
        <v>698</v>
      </c>
      <c r="CI33" s="127" t="s">
        <v>699</v>
      </c>
      <c r="CJ33" s="32"/>
      <c r="CK33" s="32"/>
      <c r="CL33" s="32"/>
      <c r="CM33" s="32"/>
      <c r="CN33" s="115"/>
    </row>
    <row r="34" spans="1:92" ht="15.75" thickBot="1" x14ac:dyDescent="0.3">
      <c r="A34" t="s">
        <v>1045</v>
      </c>
      <c r="B34">
        <f>-SUM(B29:J29)/SUM(B8:J9)</f>
        <v>1.3107956421261147</v>
      </c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695</v>
      </c>
      <c r="AY34" s="127" t="s">
        <v>696</v>
      </c>
      <c r="AZ34" s="127" t="s">
        <v>697</v>
      </c>
      <c r="BA34" s="127" t="s">
        <v>698</v>
      </c>
      <c r="BB34" s="127" t="s">
        <v>699</v>
      </c>
      <c r="BC34" s="32"/>
      <c r="BD34" s="32"/>
      <c r="BE34" s="115"/>
      <c r="BF34" s="127"/>
      <c r="BG34" s="127" t="s">
        <v>695</v>
      </c>
      <c r="BH34" s="127" t="s">
        <v>696</v>
      </c>
      <c r="BI34" s="127" t="s">
        <v>697</v>
      </c>
      <c r="BJ34" s="127" t="s">
        <v>698</v>
      </c>
      <c r="BK34" s="127" t="s">
        <v>699</v>
      </c>
      <c r="BU34" s="166" t="s">
        <v>691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691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1044</v>
      </c>
      <c r="B35" s="136">
        <f>-SUM(B29:J29)/SUM(B7:J7,B10:J10)</f>
        <v>0.47376082858029267</v>
      </c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  <c r="AW35" s="166" t="s">
        <v>691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691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692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692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1046</v>
      </c>
      <c r="B36" s="83">
        <f>-SUM(B29:J29)/SUM(B17:J17)</f>
        <v>7.8455239570653992E-2</v>
      </c>
      <c r="W36" s="166" t="s">
        <v>691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691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692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692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693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693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1047</v>
      </c>
      <c r="B37" s="136">
        <f>-SUM(B29:J29)/SUM(B16:J16)</f>
        <v>9.1025388251800857E-2</v>
      </c>
      <c r="W37" s="166" t="s">
        <v>692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693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693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693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700</v>
      </c>
      <c r="BW38" s="127" t="s">
        <v>688</v>
      </c>
      <c r="BX38" s="127" t="s">
        <v>701</v>
      </c>
      <c r="BY38" s="127" t="s">
        <v>702</v>
      </c>
      <c r="BZ38" s="127" t="s">
        <v>703</v>
      </c>
      <c r="CA38" s="127" t="s">
        <v>704</v>
      </c>
      <c r="CB38" s="127" t="s">
        <v>705</v>
      </c>
      <c r="CC38" s="191" t="s">
        <v>706</v>
      </c>
      <c r="CD38" s="168"/>
      <c r="CE38" s="127" t="s">
        <v>700</v>
      </c>
      <c r="CF38" s="127" t="s">
        <v>688</v>
      </c>
      <c r="CG38" s="127" t="s">
        <v>701</v>
      </c>
      <c r="CH38" s="127" t="s">
        <v>702</v>
      </c>
      <c r="CI38" s="127" t="s">
        <v>703</v>
      </c>
      <c r="CJ38" s="127" t="s">
        <v>704</v>
      </c>
      <c r="CK38" s="127" t="s">
        <v>705</v>
      </c>
      <c r="CL38" s="127" t="s">
        <v>706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700</v>
      </c>
      <c r="AY39" s="127" t="s">
        <v>688</v>
      </c>
      <c r="AZ39" s="127" t="s">
        <v>701</v>
      </c>
      <c r="BA39" s="127" t="s">
        <v>702</v>
      </c>
      <c r="BB39" s="127" t="s">
        <v>703</v>
      </c>
      <c r="BC39" s="127" t="s">
        <v>704</v>
      </c>
      <c r="BD39" s="127" t="s">
        <v>705</v>
      </c>
      <c r="BE39" s="191" t="s">
        <v>706</v>
      </c>
      <c r="BF39" s="127"/>
      <c r="BG39" s="127" t="s">
        <v>700</v>
      </c>
      <c r="BH39" s="127" t="s">
        <v>688</v>
      </c>
      <c r="BI39" s="127" t="s">
        <v>701</v>
      </c>
      <c r="BJ39" s="127" t="s">
        <v>702</v>
      </c>
      <c r="BK39" s="127" t="s">
        <v>703</v>
      </c>
      <c r="BL39" s="127" t="s">
        <v>704</v>
      </c>
      <c r="BM39" s="127" t="s">
        <v>705</v>
      </c>
      <c r="BN39" s="127" t="s">
        <v>706</v>
      </c>
      <c r="BU39" s="166" t="s">
        <v>694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694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  <c r="AW40" s="166" t="s">
        <v>694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694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49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719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694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694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734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307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779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307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774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798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799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743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744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741</v>
      </c>
      <c r="BV43" s="32"/>
      <c r="BW43" s="32"/>
      <c r="BX43" s="32"/>
      <c r="BY43" s="32"/>
      <c r="BZ43" s="32"/>
      <c r="CA43" s="32"/>
      <c r="CB43" s="32"/>
      <c r="CC43" s="115"/>
      <c r="CD43" s="114" t="s">
        <v>741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741</v>
      </c>
      <c r="X44" s="32"/>
      <c r="Y44" s="32"/>
      <c r="Z44" s="32"/>
      <c r="AA44" s="32"/>
      <c r="AB44" s="32"/>
      <c r="AC44" s="32"/>
      <c r="AD44" s="32"/>
      <c r="AE44" s="115"/>
      <c r="AF44" s="114" t="s">
        <v>741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684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684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684</v>
      </c>
      <c r="X46" s="127"/>
      <c r="Y46" s="32"/>
      <c r="Z46" s="32"/>
      <c r="AA46" s="32"/>
      <c r="AB46" s="32"/>
      <c r="AC46" s="32"/>
      <c r="AD46" s="32"/>
      <c r="AE46" s="115"/>
      <c r="AF46" s="168" t="s">
        <v>684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685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685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685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685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686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686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686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686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687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687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687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687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688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688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688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688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689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689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689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689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690</v>
      </c>
      <c r="BV52" s="32"/>
      <c r="BW52" s="32"/>
      <c r="BX52" s="32"/>
      <c r="BY52" s="32"/>
      <c r="BZ52" s="32"/>
      <c r="CA52" s="32"/>
      <c r="CB52" s="32"/>
      <c r="CC52" s="115"/>
      <c r="CD52" s="114" t="s">
        <v>690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690</v>
      </c>
      <c r="X53" s="32"/>
      <c r="Y53" s="32"/>
      <c r="Z53" s="32"/>
      <c r="AA53" s="32"/>
      <c r="AB53" s="32"/>
      <c r="AC53" s="32"/>
      <c r="AD53" s="32"/>
      <c r="AE53" s="115"/>
      <c r="AF53" s="114" t="s">
        <v>690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695</v>
      </c>
      <c r="BW53" s="127" t="s">
        <v>696</v>
      </c>
      <c r="BX53" s="127" t="s">
        <v>697</v>
      </c>
      <c r="BY53" s="127" t="s">
        <v>698</v>
      </c>
      <c r="BZ53" s="127" t="s">
        <v>699</v>
      </c>
      <c r="CA53" s="32"/>
      <c r="CB53" s="32"/>
      <c r="CC53" s="115"/>
      <c r="CD53" s="168"/>
      <c r="CE53" s="127" t="s">
        <v>695</v>
      </c>
      <c r="CF53" s="127" t="s">
        <v>696</v>
      </c>
      <c r="CG53" s="127" t="s">
        <v>697</v>
      </c>
      <c r="CH53" s="127" t="s">
        <v>698</v>
      </c>
      <c r="CI53" s="127" t="s">
        <v>699</v>
      </c>
      <c r="CJ53" s="32"/>
      <c r="CK53" s="32"/>
      <c r="CL53" s="32"/>
      <c r="CM53" s="32"/>
      <c r="CN53" s="115"/>
    </row>
    <row r="54" spans="1:92" x14ac:dyDescent="0.25">
      <c r="A54" s="29" t="s">
        <v>746</v>
      </c>
      <c r="W54" s="168"/>
      <c r="X54" s="127" t="s">
        <v>695</v>
      </c>
      <c r="Y54" s="127" t="s">
        <v>696</v>
      </c>
      <c r="Z54" s="127" t="s">
        <v>697</v>
      </c>
      <c r="AA54" s="127" t="s">
        <v>698</v>
      </c>
      <c r="AB54" s="127" t="s">
        <v>699</v>
      </c>
      <c r="AC54" s="32"/>
      <c r="AD54" s="32"/>
      <c r="AE54" s="115"/>
      <c r="AF54" s="168"/>
      <c r="AG54" s="127" t="s">
        <v>695</v>
      </c>
      <c r="AH54" s="127" t="s">
        <v>696</v>
      </c>
      <c r="AI54" s="127" t="s">
        <v>697</v>
      </c>
      <c r="AJ54" s="127" t="s">
        <v>698</v>
      </c>
      <c r="AK54" s="127" t="s">
        <v>699</v>
      </c>
      <c r="AL54" s="32"/>
      <c r="AM54" s="32"/>
      <c r="AN54" s="32"/>
      <c r="AO54" s="32"/>
      <c r="AP54" s="115"/>
      <c r="BU54" s="166" t="s">
        <v>691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691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719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691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691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692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692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734</v>
      </c>
      <c r="W56" s="166" t="s">
        <v>692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692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693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693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734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693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693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399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700</v>
      </c>
      <c r="BW58" s="127" t="s">
        <v>688</v>
      </c>
      <c r="BX58" s="127" t="s">
        <v>701</v>
      </c>
      <c r="BY58" s="127" t="s">
        <v>702</v>
      </c>
      <c r="BZ58" s="127" t="s">
        <v>703</v>
      </c>
      <c r="CA58" s="127" t="s">
        <v>704</v>
      </c>
      <c r="CB58" s="127" t="s">
        <v>705</v>
      </c>
      <c r="CC58" s="191" t="s">
        <v>706</v>
      </c>
      <c r="CD58" s="168"/>
      <c r="CE58" s="127" t="s">
        <v>700</v>
      </c>
      <c r="CF58" s="127" t="s">
        <v>688</v>
      </c>
      <c r="CG58" s="127" t="s">
        <v>701</v>
      </c>
      <c r="CH58" s="127" t="s">
        <v>702</v>
      </c>
      <c r="CI58" s="127" t="s">
        <v>703</v>
      </c>
      <c r="CJ58" s="127" t="s">
        <v>704</v>
      </c>
      <c r="CK58" s="127" t="s">
        <v>705</v>
      </c>
      <c r="CL58" s="127" t="s">
        <v>706</v>
      </c>
      <c r="CM58" s="32"/>
      <c r="CN58" s="115"/>
    </row>
    <row r="59" spans="1:92" x14ac:dyDescent="0.25">
      <c r="A59" s="179" t="s">
        <v>735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700</v>
      </c>
      <c r="Y59" s="127" t="s">
        <v>688</v>
      </c>
      <c r="Z59" s="127" t="s">
        <v>701</v>
      </c>
      <c r="AA59" s="127" t="s">
        <v>702</v>
      </c>
      <c r="AB59" s="127" t="s">
        <v>703</v>
      </c>
      <c r="AC59" s="127" t="s">
        <v>704</v>
      </c>
      <c r="AD59" s="127" t="s">
        <v>705</v>
      </c>
      <c r="AE59" s="191" t="s">
        <v>706</v>
      </c>
      <c r="AF59" s="168"/>
      <c r="AG59" s="127" t="s">
        <v>700</v>
      </c>
      <c r="AH59" s="127" t="s">
        <v>688</v>
      </c>
      <c r="AI59" s="127" t="s">
        <v>701</v>
      </c>
      <c r="AJ59" s="127" t="s">
        <v>702</v>
      </c>
      <c r="AK59" s="127" t="s">
        <v>703</v>
      </c>
      <c r="AL59" s="127" t="s">
        <v>704</v>
      </c>
      <c r="AM59" s="127" t="s">
        <v>705</v>
      </c>
      <c r="AN59" s="127" t="s">
        <v>706</v>
      </c>
      <c r="AO59" s="32"/>
      <c r="AP59" s="115"/>
      <c r="BU59" s="166" t="s">
        <v>694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694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694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694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796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797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719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719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797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49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800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801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752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780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741</v>
      </c>
      <c r="BV63" s="32"/>
      <c r="BW63" s="32"/>
      <c r="BX63" s="32"/>
      <c r="BY63" s="32"/>
      <c r="BZ63" s="32"/>
      <c r="CA63" s="32"/>
      <c r="CB63" s="32"/>
      <c r="CC63" s="115"/>
      <c r="CD63" s="114" t="s">
        <v>741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741</v>
      </c>
      <c r="X64" s="32"/>
      <c r="Y64" s="32"/>
      <c r="Z64" s="32"/>
      <c r="AA64" s="32"/>
      <c r="AB64" s="32"/>
      <c r="AC64" s="32"/>
      <c r="AD64" s="32"/>
      <c r="AE64" s="115"/>
      <c r="AF64" s="114" t="s">
        <v>741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684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684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684</v>
      </c>
      <c r="X66" s="127"/>
      <c r="Y66" s="32"/>
      <c r="Z66" s="32"/>
      <c r="AA66" s="32"/>
      <c r="AB66" s="32"/>
      <c r="AC66" s="32"/>
      <c r="AD66" s="32"/>
      <c r="AE66" s="115"/>
      <c r="AF66" s="168" t="s">
        <v>684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685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685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685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685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686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686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686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686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687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687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687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687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688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688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688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688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689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689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689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689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690</v>
      </c>
      <c r="BV72" s="32"/>
      <c r="BW72" s="32"/>
      <c r="BX72" s="32"/>
      <c r="BY72" s="32"/>
      <c r="BZ72" s="32"/>
      <c r="CA72" s="32"/>
      <c r="CB72" s="32"/>
      <c r="CC72" s="115"/>
      <c r="CD72" s="114" t="s">
        <v>690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690</v>
      </c>
      <c r="X73" s="32"/>
      <c r="Y73" s="32"/>
      <c r="Z73" s="32"/>
      <c r="AA73" s="32"/>
      <c r="AB73" s="32"/>
      <c r="AC73" s="32"/>
      <c r="AD73" s="32"/>
      <c r="AE73" s="115"/>
      <c r="AF73" s="114" t="s">
        <v>690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695</v>
      </c>
      <c r="BW73" s="127" t="s">
        <v>696</v>
      </c>
      <c r="BX73" s="127" t="s">
        <v>697</v>
      </c>
      <c r="BY73" s="127" t="s">
        <v>698</v>
      </c>
      <c r="BZ73" s="127" t="s">
        <v>699</v>
      </c>
      <c r="CA73" s="32"/>
      <c r="CB73" s="32"/>
      <c r="CC73" s="115"/>
      <c r="CD73" s="168"/>
      <c r="CE73" s="127" t="s">
        <v>695</v>
      </c>
      <c r="CF73" s="127" t="s">
        <v>696</v>
      </c>
      <c r="CG73" s="127" t="s">
        <v>697</v>
      </c>
      <c r="CH73" s="127" t="s">
        <v>698</v>
      </c>
      <c r="CI73" s="127" t="s">
        <v>699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695</v>
      </c>
      <c r="Y74" s="127" t="s">
        <v>696</v>
      </c>
      <c r="Z74" s="127" t="s">
        <v>697</v>
      </c>
      <c r="AA74" s="127" t="s">
        <v>698</v>
      </c>
      <c r="AB74" s="127" t="s">
        <v>699</v>
      </c>
      <c r="AC74" s="32"/>
      <c r="AD74" s="32"/>
      <c r="AE74" s="115"/>
      <c r="AF74" s="168"/>
      <c r="AG74" s="127" t="s">
        <v>695</v>
      </c>
      <c r="AH74" s="127" t="s">
        <v>696</v>
      </c>
      <c r="AI74" s="127" t="s">
        <v>697</v>
      </c>
      <c r="AJ74" s="127" t="s">
        <v>698</v>
      </c>
      <c r="AK74" s="127" t="s">
        <v>699</v>
      </c>
      <c r="AL74" s="32"/>
      <c r="AM74" s="32"/>
      <c r="AN74" s="32"/>
      <c r="AO74" s="32"/>
      <c r="AP74" s="115"/>
      <c r="BU74" s="166" t="s">
        <v>691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691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691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691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692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692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692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692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693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693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693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693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700</v>
      </c>
      <c r="BW78" s="127" t="s">
        <v>688</v>
      </c>
      <c r="BX78" s="127" t="s">
        <v>701</v>
      </c>
      <c r="BY78" s="127" t="s">
        <v>702</v>
      </c>
      <c r="BZ78" s="127" t="s">
        <v>703</v>
      </c>
      <c r="CA78" s="127" t="s">
        <v>704</v>
      </c>
      <c r="CB78" s="127" t="s">
        <v>705</v>
      </c>
      <c r="CC78" s="191" t="s">
        <v>706</v>
      </c>
      <c r="CD78" s="168"/>
      <c r="CE78" s="127" t="s">
        <v>700</v>
      </c>
      <c r="CF78" s="127" t="s">
        <v>688</v>
      </c>
      <c r="CG78" s="127" t="s">
        <v>701</v>
      </c>
      <c r="CH78" s="127" t="s">
        <v>702</v>
      </c>
      <c r="CI78" s="127" t="s">
        <v>703</v>
      </c>
      <c r="CJ78" s="127" t="s">
        <v>704</v>
      </c>
      <c r="CK78" s="127" t="s">
        <v>705</v>
      </c>
      <c r="CL78" s="127" t="s">
        <v>706</v>
      </c>
      <c r="CM78" s="32"/>
      <c r="CN78" s="115"/>
    </row>
    <row r="79" spans="23:92" x14ac:dyDescent="0.25">
      <c r="W79" s="168"/>
      <c r="X79" s="127" t="s">
        <v>700</v>
      </c>
      <c r="Y79" s="127" t="s">
        <v>688</v>
      </c>
      <c r="Z79" s="127" t="s">
        <v>701</v>
      </c>
      <c r="AA79" s="127" t="s">
        <v>702</v>
      </c>
      <c r="AB79" s="127" t="s">
        <v>703</v>
      </c>
      <c r="AC79" s="127" t="s">
        <v>704</v>
      </c>
      <c r="AD79" s="127" t="s">
        <v>705</v>
      </c>
      <c r="AE79" s="191" t="s">
        <v>706</v>
      </c>
      <c r="AF79" s="168"/>
      <c r="AG79" s="127" t="s">
        <v>700</v>
      </c>
      <c r="AH79" s="127" t="s">
        <v>688</v>
      </c>
      <c r="AI79" s="127" t="s">
        <v>701</v>
      </c>
      <c r="AJ79" s="127" t="s">
        <v>702</v>
      </c>
      <c r="AK79" s="127" t="s">
        <v>703</v>
      </c>
      <c r="AL79" s="127" t="s">
        <v>704</v>
      </c>
      <c r="AM79" s="127" t="s">
        <v>705</v>
      </c>
      <c r="AN79" s="127" t="s">
        <v>706</v>
      </c>
      <c r="AO79" s="32"/>
      <c r="AP79" s="115"/>
      <c r="BU79" s="166" t="s">
        <v>694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694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694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694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734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399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49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779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399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781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783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788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802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741</v>
      </c>
      <c r="X83" s="32"/>
      <c r="Y83" s="32"/>
      <c r="Z83" s="32"/>
      <c r="AA83" s="32"/>
      <c r="AB83" s="32"/>
      <c r="AC83" s="32"/>
      <c r="AD83" s="32"/>
      <c r="AE83" s="115"/>
      <c r="AF83" s="114" t="s">
        <v>741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741</v>
      </c>
      <c r="BV83" s="32"/>
      <c r="BW83" s="32"/>
      <c r="BX83" s="32"/>
      <c r="BY83" s="32"/>
      <c r="BZ83" s="32"/>
      <c r="CA83" s="32"/>
      <c r="CB83" s="32"/>
      <c r="CC83" s="115"/>
      <c r="CD83" s="114" t="s">
        <v>741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684</v>
      </c>
      <c r="X85" s="127"/>
      <c r="Y85" s="32"/>
      <c r="Z85" s="32"/>
      <c r="AA85" s="32"/>
      <c r="AB85" s="32"/>
      <c r="AC85" s="32"/>
      <c r="AD85" s="32"/>
      <c r="AE85" s="115"/>
      <c r="AF85" s="168" t="s">
        <v>684</v>
      </c>
      <c r="AG85" s="127"/>
      <c r="AH85" s="32"/>
      <c r="AO85" s="32"/>
      <c r="AP85" s="115"/>
      <c r="BU85" s="165" t="s">
        <v>684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684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685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685</v>
      </c>
      <c r="AG86" s="125">
        <v>0.68802635218478281</v>
      </c>
      <c r="AH86" s="32"/>
      <c r="AO86" s="32"/>
      <c r="AP86" s="115"/>
      <c r="BU86" s="166" t="s">
        <v>685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685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686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686</v>
      </c>
      <c r="AG87" s="125">
        <v>0.47338026130069877</v>
      </c>
      <c r="AH87" s="32"/>
      <c r="AO87" s="32"/>
      <c r="AP87" s="115"/>
      <c r="BU87" s="166" t="s">
        <v>686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686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687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687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687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687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688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688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688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688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689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689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689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689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690</v>
      </c>
      <c r="X92" s="32"/>
      <c r="Y92" s="32"/>
      <c r="Z92" s="32"/>
      <c r="AA92" s="32"/>
      <c r="AB92" s="32"/>
      <c r="AC92" s="32"/>
      <c r="AD92" s="32"/>
      <c r="AE92" s="115"/>
      <c r="AF92" s="114" t="s">
        <v>690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690</v>
      </c>
      <c r="BV92" s="32"/>
      <c r="BW92" s="32"/>
      <c r="BX92" s="32"/>
      <c r="BY92" s="32"/>
      <c r="BZ92" s="32"/>
      <c r="CA92" s="32"/>
      <c r="CB92" s="32"/>
      <c r="CC92" s="115"/>
      <c r="CD92" s="114" t="s">
        <v>690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695</v>
      </c>
      <c r="Y93" s="127" t="s">
        <v>696</v>
      </c>
      <c r="Z93" s="127" t="s">
        <v>697</v>
      </c>
      <c r="AA93" s="127" t="s">
        <v>698</v>
      </c>
      <c r="AB93" s="127" t="s">
        <v>699</v>
      </c>
      <c r="AC93" s="32"/>
      <c r="AD93" s="32"/>
      <c r="AE93" s="115"/>
      <c r="AF93" s="168"/>
      <c r="AG93" s="127" t="s">
        <v>695</v>
      </c>
      <c r="AH93" s="127" t="s">
        <v>696</v>
      </c>
      <c r="AI93" s="127" t="s">
        <v>697</v>
      </c>
      <c r="AJ93" s="127" t="s">
        <v>698</v>
      </c>
      <c r="AK93" s="127" t="s">
        <v>699</v>
      </c>
      <c r="AL93" s="32"/>
      <c r="AM93" s="32"/>
      <c r="AN93" s="32"/>
      <c r="AO93" s="32"/>
      <c r="AP93" s="115"/>
      <c r="BU93" s="168"/>
      <c r="BV93" s="127" t="s">
        <v>695</v>
      </c>
      <c r="BW93" s="127" t="s">
        <v>696</v>
      </c>
      <c r="BX93" s="127" t="s">
        <v>697</v>
      </c>
      <c r="BY93" s="127" t="s">
        <v>698</v>
      </c>
      <c r="BZ93" s="127" t="s">
        <v>699</v>
      </c>
      <c r="CA93" s="32"/>
      <c r="CB93" s="32"/>
      <c r="CC93" s="115"/>
      <c r="CD93" s="168"/>
      <c r="CE93" s="127" t="s">
        <v>695</v>
      </c>
      <c r="CF93" s="127" t="s">
        <v>696</v>
      </c>
      <c r="CG93" s="127" t="s">
        <v>697</v>
      </c>
      <c r="CH93" s="127" t="s">
        <v>698</v>
      </c>
      <c r="CI93" s="127" t="s">
        <v>699</v>
      </c>
      <c r="CJ93" s="32"/>
      <c r="CK93" s="32"/>
      <c r="CL93" s="32"/>
      <c r="CM93" s="32"/>
      <c r="CN93" s="115"/>
    </row>
    <row r="94" spans="23:92" x14ac:dyDescent="0.25">
      <c r="W94" s="166" t="s">
        <v>691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691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691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691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692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692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692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692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693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693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693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693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700</v>
      </c>
      <c r="Y98" s="127" t="s">
        <v>688</v>
      </c>
      <c r="Z98" s="127" t="s">
        <v>701</v>
      </c>
      <c r="AA98" s="127" t="s">
        <v>702</v>
      </c>
      <c r="AB98" s="127" t="s">
        <v>703</v>
      </c>
      <c r="AC98" s="127" t="s">
        <v>704</v>
      </c>
      <c r="AD98" s="127" t="s">
        <v>705</v>
      </c>
      <c r="AE98" s="191" t="s">
        <v>706</v>
      </c>
      <c r="AF98" s="168"/>
      <c r="AG98" s="127" t="s">
        <v>700</v>
      </c>
      <c r="AH98" s="127" t="s">
        <v>688</v>
      </c>
      <c r="AI98" s="127" t="s">
        <v>701</v>
      </c>
      <c r="AJ98" s="127" t="s">
        <v>702</v>
      </c>
      <c r="AK98" s="127" t="s">
        <v>703</v>
      </c>
      <c r="AL98" s="127" t="s">
        <v>704</v>
      </c>
      <c r="AM98" s="127" t="s">
        <v>705</v>
      </c>
      <c r="AN98" s="127" t="s">
        <v>706</v>
      </c>
      <c r="AO98" s="32"/>
      <c r="AP98" s="115"/>
      <c r="BU98" s="168"/>
      <c r="BV98" s="127" t="s">
        <v>700</v>
      </c>
      <c r="BW98" s="127" t="s">
        <v>688</v>
      </c>
      <c r="BX98" s="127" t="s">
        <v>701</v>
      </c>
      <c r="BY98" s="127" t="s">
        <v>702</v>
      </c>
      <c r="BZ98" s="127" t="s">
        <v>703</v>
      </c>
      <c r="CA98" s="127" t="s">
        <v>704</v>
      </c>
      <c r="CB98" s="127" t="s">
        <v>705</v>
      </c>
      <c r="CC98" s="191" t="s">
        <v>706</v>
      </c>
      <c r="CD98" s="168"/>
      <c r="CE98" s="127" t="s">
        <v>700</v>
      </c>
      <c r="CF98" s="127" t="s">
        <v>688</v>
      </c>
      <c r="CG98" s="127" t="s">
        <v>701</v>
      </c>
      <c r="CH98" s="127" t="s">
        <v>702</v>
      </c>
      <c r="CI98" s="127" t="s">
        <v>703</v>
      </c>
      <c r="CJ98" s="127" t="s">
        <v>704</v>
      </c>
      <c r="CK98" s="127" t="s">
        <v>705</v>
      </c>
      <c r="CL98" s="127" t="s">
        <v>706</v>
      </c>
      <c r="CM98" s="32"/>
      <c r="CN98" s="115"/>
    </row>
    <row r="99" spans="23:92" x14ac:dyDescent="0.25">
      <c r="W99" s="166" t="s">
        <v>694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694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694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694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739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782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734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399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784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783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780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803</v>
      </c>
    </row>
    <row r="102" spans="23:92" x14ac:dyDescent="0.25">
      <c r="W102" s="114" t="s">
        <v>741</v>
      </c>
      <c r="X102" s="32"/>
      <c r="AE102" s="115"/>
      <c r="AF102" s="114" t="s">
        <v>741</v>
      </c>
      <c r="AG102" s="32"/>
      <c r="AH102" s="287" t="s">
        <v>745</v>
      </c>
      <c r="AI102" s="287"/>
      <c r="AJ102" s="287"/>
      <c r="AK102" s="287"/>
      <c r="AL102" s="287"/>
      <c r="AM102" s="287"/>
      <c r="AN102" s="32"/>
      <c r="AO102" s="32"/>
      <c r="AP102" s="115"/>
      <c r="BU102" s="114" t="s">
        <v>741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741</v>
      </c>
    </row>
    <row r="103" spans="23:92" ht="15.75" thickBot="1" x14ac:dyDescent="0.3">
      <c r="W103" s="114"/>
      <c r="X103" s="32"/>
      <c r="AE103" s="115"/>
      <c r="AF103" s="114"/>
      <c r="AG103" s="32"/>
      <c r="AH103" s="287"/>
      <c r="AI103" s="287"/>
      <c r="AJ103" s="287"/>
      <c r="AK103" s="287"/>
      <c r="AL103" s="287"/>
      <c r="AM103" s="287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684</v>
      </c>
      <c r="X104" s="127"/>
      <c r="AE104" s="115"/>
      <c r="AF104" s="168" t="s">
        <v>684</v>
      </c>
      <c r="AG104" s="127"/>
      <c r="AH104" s="287"/>
      <c r="AI104" s="287"/>
      <c r="AJ104" s="287"/>
      <c r="AK104" s="287"/>
      <c r="AL104" s="287"/>
      <c r="AM104" s="287"/>
      <c r="AN104" s="32"/>
      <c r="AO104" s="32"/>
      <c r="AP104" s="115"/>
      <c r="BU104" s="165" t="s">
        <v>684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684</v>
      </c>
      <c r="CE104" s="128"/>
    </row>
    <row r="105" spans="23:92" x14ac:dyDescent="0.25">
      <c r="W105" s="166" t="s">
        <v>685</v>
      </c>
      <c r="X105" s="125">
        <v>0.78316320861541389</v>
      </c>
      <c r="AE105" s="115"/>
      <c r="AF105" s="166" t="s">
        <v>685</v>
      </c>
      <c r="AG105" s="125">
        <v>0.68802635218478281</v>
      </c>
      <c r="AH105" s="287"/>
      <c r="AI105" s="287"/>
      <c r="AJ105" s="287"/>
      <c r="AK105" s="287"/>
      <c r="AL105" s="287"/>
      <c r="AM105" s="287"/>
      <c r="AN105" s="32"/>
      <c r="AO105" s="32"/>
      <c r="AP105" s="115"/>
      <c r="BU105" s="166" t="s">
        <v>685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685</v>
      </c>
      <c r="CE105" s="125">
        <v>0.55339686053266746</v>
      </c>
    </row>
    <row r="106" spans="23:92" x14ac:dyDescent="0.25">
      <c r="W106" s="166" t="s">
        <v>686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686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686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686</v>
      </c>
      <c r="CE106" s="125">
        <v>0.30624808524741259</v>
      </c>
    </row>
    <row r="107" spans="23:92" x14ac:dyDescent="0.25">
      <c r="W107" s="166" t="s">
        <v>687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687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687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687</v>
      </c>
      <c r="CE107" s="125">
        <v>0.20714066885418583</v>
      </c>
    </row>
    <row r="108" spans="23:92" x14ac:dyDescent="0.25">
      <c r="W108" s="166" t="s">
        <v>688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688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688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688</v>
      </c>
      <c r="CE108" s="125">
        <v>0.12266897425924948</v>
      </c>
    </row>
    <row r="109" spans="23:92" ht="15.75" thickBot="1" x14ac:dyDescent="0.3">
      <c r="W109" s="167" t="s">
        <v>689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689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689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689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690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690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690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690</v>
      </c>
    </row>
    <row r="112" spans="23:92" x14ac:dyDescent="0.25">
      <c r="W112" s="168"/>
      <c r="X112" s="127" t="s">
        <v>695</v>
      </c>
      <c r="Y112" s="127" t="s">
        <v>696</v>
      </c>
      <c r="Z112" s="127" t="s">
        <v>697</v>
      </c>
      <c r="AA112" s="127" t="s">
        <v>698</v>
      </c>
      <c r="AB112" s="127" t="s">
        <v>699</v>
      </c>
      <c r="AC112" s="32"/>
      <c r="AD112" s="32"/>
      <c r="AE112" s="115"/>
      <c r="AF112" s="168"/>
      <c r="AG112" s="127" t="s">
        <v>695</v>
      </c>
      <c r="AH112" s="127" t="s">
        <v>696</v>
      </c>
      <c r="AI112" s="127" t="s">
        <v>697</v>
      </c>
      <c r="AJ112" s="127" t="s">
        <v>698</v>
      </c>
      <c r="AK112" s="127" t="s">
        <v>699</v>
      </c>
      <c r="AL112" s="32"/>
      <c r="AM112" s="32"/>
      <c r="AN112" s="32"/>
      <c r="AO112" s="32"/>
      <c r="AP112" s="115"/>
      <c r="BU112" s="168"/>
      <c r="BV112" s="127" t="s">
        <v>695</v>
      </c>
      <c r="BW112" s="127" t="s">
        <v>696</v>
      </c>
      <c r="BX112" s="127" t="s">
        <v>697</v>
      </c>
      <c r="BY112" s="127" t="s">
        <v>698</v>
      </c>
      <c r="BZ112" s="127" t="s">
        <v>699</v>
      </c>
      <c r="CA112" s="32"/>
      <c r="CB112" s="32"/>
      <c r="CC112" s="115"/>
      <c r="CD112" s="127"/>
      <c r="CE112" s="127" t="s">
        <v>695</v>
      </c>
      <c r="CF112" s="127" t="s">
        <v>696</v>
      </c>
      <c r="CG112" s="127" t="s">
        <v>697</v>
      </c>
      <c r="CH112" s="127" t="s">
        <v>698</v>
      </c>
      <c r="CI112" s="127" t="s">
        <v>699</v>
      </c>
    </row>
    <row r="113" spans="23:90" x14ac:dyDescent="0.25">
      <c r="W113" s="166" t="s">
        <v>691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691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691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691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692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692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692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692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693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693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693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693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700</v>
      </c>
      <c r="Y117" s="127" t="s">
        <v>688</v>
      </c>
      <c r="Z117" s="127" t="s">
        <v>701</v>
      </c>
      <c r="AA117" s="127" t="s">
        <v>702</v>
      </c>
      <c r="AB117" s="127" t="s">
        <v>703</v>
      </c>
      <c r="AC117" s="127" t="s">
        <v>704</v>
      </c>
      <c r="AD117" s="127" t="s">
        <v>705</v>
      </c>
      <c r="AE117" s="191" t="s">
        <v>706</v>
      </c>
      <c r="AF117" s="168"/>
      <c r="AG117" s="127" t="s">
        <v>700</v>
      </c>
      <c r="AH117" s="127" t="s">
        <v>688</v>
      </c>
      <c r="AI117" s="127" t="s">
        <v>701</v>
      </c>
      <c r="AJ117" s="127" t="s">
        <v>702</v>
      </c>
      <c r="AK117" s="127" t="s">
        <v>703</v>
      </c>
      <c r="AL117" s="127" t="s">
        <v>704</v>
      </c>
      <c r="AM117" s="127" t="s">
        <v>705</v>
      </c>
      <c r="AN117" s="127" t="s">
        <v>706</v>
      </c>
      <c r="AO117" s="32"/>
      <c r="AP117" s="115"/>
      <c r="BU117" s="168"/>
      <c r="BV117" s="127" t="s">
        <v>700</v>
      </c>
      <c r="BW117" s="127" t="s">
        <v>688</v>
      </c>
      <c r="BX117" s="127" t="s">
        <v>701</v>
      </c>
      <c r="BY117" s="127" t="s">
        <v>702</v>
      </c>
      <c r="BZ117" s="127" t="s">
        <v>703</v>
      </c>
      <c r="CA117" s="127" t="s">
        <v>704</v>
      </c>
      <c r="CB117" s="127" t="s">
        <v>705</v>
      </c>
      <c r="CC117" s="191" t="s">
        <v>706</v>
      </c>
      <c r="CD117" s="127"/>
      <c r="CE117" s="127" t="s">
        <v>700</v>
      </c>
      <c r="CF117" s="127" t="s">
        <v>688</v>
      </c>
      <c r="CG117" s="127" t="s">
        <v>701</v>
      </c>
      <c r="CH117" s="127" t="s">
        <v>702</v>
      </c>
      <c r="CI117" s="127" t="s">
        <v>703</v>
      </c>
      <c r="CJ117" s="127" t="s">
        <v>704</v>
      </c>
      <c r="CK117" s="127" t="s">
        <v>705</v>
      </c>
      <c r="CL117" s="127" t="s">
        <v>706</v>
      </c>
    </row>
    <row r="118" spans="23:90" x14ac:dyDescent="0.25">
      <c r="W118" s="166" t="s">
        <v>694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694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694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694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782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782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779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404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785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789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741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684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685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686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687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688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689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690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695</v>
      </c>
      <c r="BW131" s="127" t="s">
        <v>696</v>
      </c>
      <c r="BX131" s="127" t="s">
        <v>697</v>
      </c>
      <c r="BY131" s="127" t="s">
        <v>698</v>
      </c>
      <c r="BZ131" s="127" t="s">
        <v>699</v>
      </c>
      <c r="CA131" s="32"/>
      <c r="CB131" s="32"/>
      <c r="CC131" s="115"/>
    </row>
    <row r="132" spans="73:81" x14ac:dyDescent="0.25">
      <c r="BU132" s="166" t="s">
        <v>691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692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693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700</v>
      </c>
      <c r="BW136" s="127" t="s">
        <v>688</v>
      </c>
      <c r="BX136" s="127" t="s">
        <v>701</v>
      </c>
      <c r="BY136" s="127" t="s">
        <v>702</v>
      </c>
      <c r="BZ136" s="127" t="s">
        <v>703</v>
      </c>
      <c r="CA136" s="127" t="s">
        <v>704</v>
      </c>
      <c r="CB136" s="127" t="s">
        <v>705</v>
      </c>
      <c r="CC136" s="191" t="s">
        <v>706</v>
      </c>
    </row>
    <row r="137" spans="73:81" x14ac:dyDescent="0.25">
      <c r="BU137" s="166" t="s">
        <v>694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307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D37" sqref="D37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4" t="s">
        <v>804</v>
      </c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5"/>
      <c r="AP1" s="286"/>
    </row>
    <row r="2" spans="1:42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807</v>
      </c>
      <c r="X2" s="163"/>
      <c r="Y2" s="163"/>
      <c r="Z2" s="163"/>
      <c r="AA2" s="163"/>
      <c r="AB2" s="163"/>
      <c r="AC2" s="163"/>
      <c r="AD2" s="163"/>
      <c r="AE2" s="113"/>
      <c r="AF2" s="171" t="s">
        <v>809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806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741</v>
      </c>
      <c r="X3" s="32"/>
      <c r="Y3" s="32"/>
      <c r="Z3" s="32"/>
      <c r="AA3" s="32"/>
      <c r="AB3" s="32"/>
      <c r="AC3" s="32"/>
      <c r="AD3" s="32"/>
      <c r="AE3" s="115"/>
      <c r="AF3" s="114" t="s">
        <v>741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805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307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684</v>
      </c>
      <c r="X5" s="128"/>
      <c r="Y5" s="32"/>
      <c r="Z5" s="32"/>
      <c r="AA5" s="32"/>
      <c r="AB5" s="32"/>
      <c r="AC5" s="32"/>
      <c r="AD5" s="32"/>
      <c r="AE5" s="115"/>
      <c r="AF5" s="165" t="s">
        <v>684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774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685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685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804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686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686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808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687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687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688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688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810</v>
      </c>
      <c r="B10" s="136">
        <f>SUM(B7:J7)/SUM(B4:J4)</f>
        <v>0.11084621311698319</v>
      </c>
      <c r="W10" s="167" t="s">
        <v>689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689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690</v>
      </c>
      <c r="X12" s="32"/>
      <c r="Y12" s="32"/>
      <c r="Z12" s="32"/>
      <c r="AA12" s="32"/>
      <c r="AB12" s="32"/>
      <c r="AC12" s="32"/>
      <c r="AD12" s="32"/>
      <c r="AE12" s="115"/>
      <c r="AF12" s="114" t="s">
        <v>690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695</v>
      </c>
      <c r="Y13" s="127" t="s">
        <v>696</v>
      </c>
      <c r="Z13" s="127" t="s">
        <v>697</v>
      </c>
      <c r="AA13" s="127" t="s">
        <v>698</v>
      </c>
      <c r="AB13" s="127" t="s">
        <v>699</v>
      </c>
      <c r="AC13" s="32"/>
      <c r="AD13" s="32"/>
      <c r="AE13" s="115"/>
      <c r="AF13" s="168"/>
      <c r="AG13" s="127" t="s">
        <v>695</v>
      </c>
      <c r="AH13" s="127" t="s">
        <v>696</v>
      </c>
      <c r="AI13" s="127" t="s">
        <v>697</v>
      </c>
      <c r="AJ13" s="127" t="s">
        <v>698</v>
      </c>
      <c r="AK13" s="127" t="s">
        <v>699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691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691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692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692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693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693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700</v>
      </c>
      <c r="Y18" s="127" t="s">
        <v>688</v>
      </c>
      <c r="Z18" s="127" t="s">
        <v>701</v>
      </c>
      <c r="AA18" s="127" t="s">
        <v>702</v>
      </c>
      <c r="AB18" s="127" t="s">
        <v>703</v>
      </c>
      <c r="AC18" s="127" t="s">
        <v>704</v>
      </c>
      <c r="AD18" s="127" t="s">
        <v>705</v>
      </c>
      <c r="AE18" s="191" t="s">
        <v>706</v>
      </c>
      <c r="AF18" s="168"/>
      <c r="AG18" s="127" t="s">
        <v>700</v>
      </c>
      <c r="AH18" s="127" t="s">
        <v>688</v>
      </c>
      <c r="AI18" s="127" t="s">
        <v>701</v>
      </c>
      <c r="AJ18" s="127" t="s">
        <v>702</v>
      </c>
      <c r="AK18" s="127" t="s">
        <v>703</v>
      </c>
      <c r="AL18" s="127" t="s">
        <v>704</v>
      </c>
      <c r="AM18" s="127" t="s">
        <v>705</v>
      </c>
      <c r="AN18" s="127" t="s">
        <v>706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694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694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719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805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49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806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805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811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789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746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719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684</v>
      </c>
      <c r="X27" s="128"/>
      <c r="Y27" s="32"/>
      <c r="Z27" s="32"/>
      <c r="AA27" s="32"/>
      <c r="AB27" s="32"/>
      <c r="AC27" s="32"/>
      <c r="AD27" s="32"/>
      <c r="AE27" s="115"/>
      <c r="AF27" s="165" t="s">
        <v>684</v>
      </c>
      <c r="AG27" s="128"/>
      <c r="AH27" s="32"/>
      <c r="AI27" s="32"/>
      <c r="AJ27" s="287" t="s">
        <v>745</v>
      </c>
      <c r="AK27" s="287"/>
      <c r="AL27" s="287"/>
      <c r="AM27" s="287"/>
      <c r="AN27" s="287"/>
      <c r="AO27" s="287"/>
      <c r="AP27" s="115"/>
    </row>
    <row r="28" spans="1:42" x14ac:dyDescent="0.25">
      <c r="A28" t="s">
        <v>804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685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0.84951069282291392</v>
      </c>
      <c r="AH28" s="32"/>
      <c r="AI28" s="32"/>
      <c r="AJ28" s="287"/>
      <c r="AK28" s="287"/>
      <c r="AL28" s="287"/>
      <c r="AM28" s="287"/>
      <c r="AN28" s="287"/>
      <c r="AO28" s="287"/>
      <c r="AP28" s="115"/>
    </row>
    <row r="29" spans="1:42" x14ac:dyDescent="0.25">
      <c r="W29" s="166" t="s">
        <v>686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0.72166841722046715</v>
      </c>
      <c r="AH29" s="32"/>
      <c r="AI29" s="32"/>
      <c r="AJ29" s="287"/>
      <c r="AK29" s="287"/>
      <c r="AL29" s="287"/>
      <c r="AM29" s="287"/>
      <c r="AN29" s="287"/>
      <c r="AO29" s="287"/>
      <c r="AP29" s="115"/>
    </row>
    <row r="30" spans="1:42" x14ac:dyDescent="0.25">
      <c r="W30" s="166" t="s">
        <v>687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687</v>
      </c>
      <c r="AG30" s="129">
        <v>0.68190676253767679</v>
      </c>
      <c r="AH30" s="32"/>
      <c r="AI30" s="32"/>
      <c r="AJ30" s="287"/>
      <c r="AK30" s="287"/>
      <c r="AL30" s="287"/>
      <c r="AM30" s="287"/>
      <c r="AN30" s="287"/>
      <c r="AO30" s="287"/>
      <c r="AP30" s="115"/>
    </row>
    <row r="31" spans="1:42" x14ac:dyDescent="0.25">
      <c r="W31" s="166" t="s">
        <v>688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</row>
    <row r="36" spans="23:42" x14ac:dyDescent="0.25">
      <c r="W36" s="166" t="s">
        <v>691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691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692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693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</row>
    <row r="41" spans="23:42" x14ac:dyDescent="0.25">
      <c r="W41" s="166" t="s">
        <v>694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694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307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307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774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16" x14ac:dyDescent="0.25">
      <c r="A6" s="6" t="s">
        <v>49</v>
      </c>
      <c r="B6" s="6" t="s">
        <v>20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66</v>
      </c>
      <c r="B7" s="10" t="s">
        <v>67</v>
      </c>
      <c r="C7" s="12" t="s">
        <v>23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68</v>
      </c>
      <c r="B8" s="10" t="s">
        <v>69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70</v>
      </c>
      <c r="B9" s="10" t="s">
        <v>71</v>
      </c>
      <c r="C9" s="12" t="s">
        <v>23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72</v>
      </c>
      <c r="B10" s="10" t="s">
        <v>73</v>
      </c>
      <c r="C10" s="12" t="s">
        <v>23</v>
      </c>
      <c r="D10" s="12" t="s">
        <v>23</v>
      </c>
      <c r="E10" s="12" t="s">
        <v>23</v>
      </c>
      <c r="F10" s="12" t="s">
        <v>23</v>
      </c>
      <c r="G10" s="12" t="s">
        <v>23</v>
      </c>
      <c r="H10" s="12" t="s">
        <v>23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74</v>
      </c>
      <c r="B11" s="6" t="s">
        <v>21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75</v>
      </c>
      <c r="B12" s="10" t="s">
        <v>76</v>
      </c>
      <c r="C12" s="12" t="s">
        <v>23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77</v>
      </c>
      <c r="B13" s="10" t="s">
        <v>78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79</v>
      </c>
      <c r="B14" s="10" t="s">
        <v>80</v>
      </c>
      <c r="C14" s="12" t="s">
        <v>23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81</v>
      </c>
      <c r="B15" s="11" t="s">
        <v>82</v>
      </c>
      <c r="C15" s="20" t="s">
        <v>23</v>
      </c>
      <c r="D15" s="20" t="s">
        <v>23</v>
      </c>
      <c r="E15" s="20">
        <v>7.3999999999999996E-2</v>
      </c>
      <c r="F15" s="20">
        <v>9.5000000000000001E-2</v>
      </c>
      <c r="G15" s="20" t="s">
        <v>23</v>
      </c>
      <c r="H15" s="20" t="s">
        <v>23</v>
      </c>
      <c r="I15" s="20">
        <v>1.7999999999999999E-2</v>
      </c>
      <c r="J15" s="20">
        <v>0.185</v>
      </c>
      <c r="K15" s="20" t="s">
        <v>23</v>
      </c>
      <c r="L15" s="21">
        <v>6.7000000000000004E-2</v>
      </c>
      <c r="P15" s="141"/>
    </row>
    <row r="16" spans="1:16" x14ac:dyDescent="0.25">
      <c r="A16" s="11" t="s">
        <v>83</v>
      </c>
      <c r="B16" s="11" t="s">
        <v>84</v>
      </c>
      <c r="C16" s="20" t="s">
        <v>23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85</v>
      </c>
      <c r="B17" s="10" t="s">
        <v>86</v>
      </c>
      <c r="C17" s="12" t="s">
        <v>23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72</v>
      </c>
      <c r="B18" s="10" t="s">
        <v>87</v>
      </c>
      <c r="C18" s="12" t="s">
        <v>23</v>
      </c>
      <c r="D18" s="12" t="s">
        <v>23</v>
      </c>
      <c r="E18" s="12" t="s">
        <v>23</v>
      </c>
      <c r="F18" s="12" t="s">
        <v>23</v>
      </c>
      <c r="G18" s="12" t="s">
        <v>23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88</v>
      </c>
      <c r="B19" s="10" t="s">
        <v>89</v>
      </c>
      <c r="C19" s="12" t="s">
        <v>23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90</v>
      </c>
      <c r="B20" s="6" t="s">
        <v>34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681</v>
      </c>
      <c r="N20" s="25"/>
    </row>
    <row r="21" spans="1:21" x14ac:dyDescent="0.25">
      <c r="A21" s="80" t="s">
        <v>91</v>
      </c>
      <c r="B21" s="80" t="s">
        <v>92</v>
      </c>
      <c r="C21" s="79" t="s">
        <v>23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93</v>
      </c>
      <c r="B22" s="80" t="s">
        <v>94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883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95</v>
      </c>
      <c r="B23" s="91" t="s">
        <v>96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882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97</v>
      </c>
      <c r="B24" s="91" t="s">
        <v>98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707</v>
      </c>
      <c r="N24" s="58"/>
      <c r="O24" s="24"/>
      <c r="P24" s="24"/>
      <c r="Q24" s="24"/>
      <c r="R24" s="24"/>
      <c r="S24" s="24"/>
    </row>
    <row r="25" spans="1:21" x14ac:dyDescent="0.25">
      <c r="A25" s="10" t="s">
        <v>99</v>
      </c>
      <c r="B25" s="10" t="s">
        <v>100</v>
      </c>
      <c r="C25" s="205" t="s">
        <v>23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101</v>
      </c>
      <c r="B26" s="10" t="s">
        <v>102</v>
      </c>
      <c r="C26" s="205" t="s">
        <v>23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103</v>
      </c>
      <c r="B27" s="10" t="s">
        <v>104</v>
      </c>
      <c r="C27" s="205" t="s">
        <v>23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105</v>
      </c>
      <c r="B28" s="6" t="s">
        <v>52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106</v>
      </c>
      <c r="B29" s="10" t="s">
        <v>107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108</v>
      </c>
      <c r="B30" s="6" t="s">
        <v>52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109</v>
      </c>
      <c r="B31" s="80" t="s">
        <v>110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677</v>
      </c>
      <c r="N31" s="58"/>
    </row>
    <row r="32" spans="1:21" x14ac:dyDescent="0.25">
      <c r="A32" s="10" t="s">
        <v>111</v>
      </c>
      <c r="B32" s="10" t="s">
        <v>112</v>
      </c>
      <c r="C32" s="12" t="s">
        <v>23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113</v>
      </c>
      <c r="B33" s="10" t="s">
        <v>114</v>
      </c>
      <c r="C33" s="12" t="s">
        <v>23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115</v>
      </c>
      <c r="B34" s="6" t="s">
        <v>116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117</v>
      </c>
      <c r="B35" s="10" t="s">
        <v>118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119</v>
      </c>
      <c r="B36" s="10" t="s">
        <v>120</v>
      </c>
      <c r="C36" s="12" t="s">
        <v>23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121</v>
      </c>
      <c r="B37" s="10" t="s">
        <v>122</v>
      </c>
      <c r="C37" s="12" t="s">
        <v>23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123</v>
      </c>
      <c r="B38" s="6" t="s">
        <v>124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125</v>
      </c>
      <c r="B39" s="10" t="s">
        <v>126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127</v>
      </c>
      <c r="B40" s="6" t="s">
        <v>128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129</v>
      </c>
      <c r="B41" s="10" t="s">
        <v>130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131</v>
      </c>
      <c r="B42" s="10" t="s">
        <v>132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133</v>
      </c>
      <c r="B43" s="6" t="s">
        <v>24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134</v>
      </c>
      <c r="B45" s="6" t="s">
        <v>24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135</v>
      </c>
      <c r="B46" s="10" t="s">
        <v>136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137</v>
      </c>
      <c r="B47" s="10" t="s">
        <v>118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59</v>
      </c>
      <c r="B49" s="10" t="s">
        <v>37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138</v>
      </c>
      <c r="B50" s="6" t="s">
        <v>35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139</v>
      </c>
      <c r="B51" s="6" t="s">
        <v>60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140</v>
      </c>
      <c r="B52" s="6" t="s">
        <v>61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58</v>
      </c>
      <c r="B54" s="10" t="s">
        <v>38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141</v>
      </c>
      <c r="B55" s="6" t="s">
        <v>36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142</v>
      </c>
      <c r="B56" s="6" t="s">
        <v>62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143</v>
      </c>
      <c r="B57" s="6" t="s">
        <v>25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144</v>
      </c>
      <c r="B60" s="6" t="s">
        <v>145</v>
      </c>
      <c r="C60" s="14" t="s">
        <v>146</v>
      </c>
      <c r="D60" s="14" t="s">
        <v>146</v>
      </c>
      <c r="E60" s="14" t="s">
        <v>146</v>
      </c>
      <c r="F60" s="14" t="s">
        <v>146</v>
      </c>
      <c r="G60" s="14" t="s">
        <v>146</v>
      </c>
      <c r="H60" s="14" t="s">
        <v>146</v>
      </c>
      <c r="I60" s="14" t="s">
        <v>146</v>
      </c>
      <c r="J60" s="14" t="s">
        <v>146</v>
      </c>
      <c r="K60" s="14" t="s">
        <v>146</v>
      </c>
      <c r="L60" s="17"/>
    </row>
    <row r="61" spans="1:12" x14ac:dyDescent="0.25">
      <c r="A61" s="6" t="s">
        <v>22</v>
      </c>
      <c r="B61" s="6" t="s">
        <v>22</v>
      </c>
      <c r="C61" s="15" t="s">
        <v>23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147</v>
      </c>
      <c r="B62" s="6" t="s">
        <v>148</v>
      </c>
      <c r="C62" s="16" t="s">
        <v>23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149</v>
      </c>
      <c r="B63" s="6" t="s">
        <v>149</v>
      </c>
      <c r="C63" s="15" t="s">
        <v>23</v>
      </c>
      <c r="D63" s="15">
        <v>12.666</v>
      </c>
      <c r="E63" s="15">
        <v>22.902999999999999</v>
      </c>
      <c r="F63" s="15">
        <v>24.960999999999999</v>
      </c>
      <c r="G63" s="15" t="s">
        <v>23</v>
      </c>
      <c r="H63" s="15" t="s">
        <v>23</v>
      </c>
      <c r="I63" s="15" t="s">
        <v>23</v>
      </c>
      <c r="J63" s="15" t="s">
        <v>23</v>
      </c>
      <c r="K63" s="15" t="s">
        <v>23</v>
      </c>
      <c r="L63" s="18"/>
    </row>
    <row r="64" spans="1:12" x14ac:dyDescent="0.25">
      <c r="A64" s="6" t="s">
        <v>50</v>
      </c>
      <c r="B64" s="6" t="s">
        <v>50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150</v>
      </c>
      <c r="B65" s="6" t="s">
        <v>51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151</v>
      </c>
      <c r="B66" s="6" t="s">
        <v>152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153</v>
      </c>
      <c r="B67" s="6" t="s">
        <v>154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155</v>
      </c>
      <c r="B68" s="6" t="s">
        <v>63</v>
      </c>
      <c r="C68" s="16" t="s">
        <v>23</v>
      </c>
      <c r="D68" s="16">
        <v>0.1452</v>
      </c>
      <c r="E68" s="16" t="s">
        <v>23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156</v>
      </c>
      <c r="B69" s="6" t="s">
        <v>157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158</v>
      </c>
      <c r="B70" s="6" t="s">
        <v>159</v>
      </c>
      <c r="C70" s="15" t="s">
        <v>23</v>
      </c>
      <c r="D70" s="15" t="s">
        <v>23</v>
      </c>
      <c r="E70" s="15" t="s">
        <v>23</v>
      </c>
      <c r="F70" s="15" t="s">
        <v>23</v>
      </c>
      <c r="G70" s="15" t="s">
        <v>23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160</v>
      </c>
      <c r="B71" s="6" t="s">
        <v>161</v>
      </c>
      <c r="C71" s="15">
        <v>0</v>
      </c>
      <c r="D71" s="15">
        <v>0</v>
      </c>
      <c r="E71" s="15">
        <v>0</v>
      </c>
      <c r="F71" s="15">
        <v>0</v>
      </c>
      <c r="G71" s="15" t="s">
        <v>23</v>
      </c>
      <c r="H71" s="15" t="s">
        <v>23</v>
      </c>
      <c r="I71" s="15" t="s">
        <v>23</v>
      </c>
      <c r="J71" s="15" t="s">
        <v>23</v>
      </c>
      <c r="K71" s="15" t="s">
        <v>23</v>
      </c>
      <c r="L71" s="18"/>
    </row>
    <row r="72" spans="1:12" x14ac:dyDescent="0.25">
      <c r="A72" s="7" t="s">
        <v>29</v>
      </c>
      <c r="B72" s="7"/>
      <c r="C72" s="7" t="s">
        <v>30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25" x14ac:dyDescent="0.25">
      <c r="A6" s="6" t="s">
        <v>308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309</v>
      </c>
      <c r="B7" s="10" t="s">
        <v>310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311</v>
      </c>
      <c r="B8" s="10" t="s">
        <v>312</v>
      </c>
      <c r="C8" s="12" t="s">
        <v>23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313</v>
      </c>
      <c r="B9" s="10" t="s">
        <v>314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315</v>
      </c>
      <c r="B10" s="10" t="s">
        <v>316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317</v>
      </c>
      <c r="B11" s="80" t="s">
        <v>318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1052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319</v>
      </c>
      <c r="B12" s="10" t="s">
        <v>320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321</v>
      </c>
      <c r="B13" s="10" t="s">
        <v>322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323</v>
      </c>
      <c r="B14" s="10" t="s">
        <v>324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325</v>
      </c>
      <c r="B15" s="10" t="s">
        <v>326</v>
      </c>
      <c r="C15" s="12" t="s">
        <v>23</v>
      </c>
      <c r="D15" s="12" t="s">
        <v>23</v>
      </c>
      <c r="E15" s="12" t="s">
        <v>23</v>
      </c>
      <c r="F15" s="12" t="s">
        <v>23</v>
      </c>
      <c r="G15" s="12" t="s">
        <v>23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308</v>
      </c>
      <c r="B16" s="6" t="s">
        <v>26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328</v>
      </c>
      <c r="B19" s="10" t="s">
        <v>329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330</v>
      </c>
      <c r="B20" s="10" t="s">
        <v>331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332</v>
      </c>
      <c r="B21" s="11" t="s">
        <v>333</v>
      </c>
      <c r="C21" s="20" t="s">
        <v>23</v>
      </c>
      <c r="D21" s="20" t="s">
        <v>23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334</v>
      </c>
      <c r="B22" s="11" t="s">
        <v>335</v>
      </c>
      <c r="C22" s="20" t="s">
        <v>23</v>
      </c>
      <c r="D22" s="20" t="s">
        <v>23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336</v>
      </c>
      <c r="B23" s="10" t="s">
        <v>337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338</v>
      </c>
      <c r="B24" s="11" t="s">
        <v>339</v>
      </c>
      <c r="C24" s="20" t="s">
        <v>23</v>
      </c>
      <c r="D24" s="20" t="s">
        <v>23</v>
      </c>
      <c r="E24" s="20">
        <v>0</v>
      </c>
      <c r="F24" s="20">
        <v>-9.2999999999999999E-2</v>
      </c>
      <c r="G24" s="20">
        <v>0</v>
      </c>
      <c r="H24" s="20" t="s">
        <v>23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340</v>
      </c>
      <c r="B25" s="11" t="s">
        <v>341</v>
      </c>
      <c r="C25" s="20" t="s">
        <v>23</v>
      </c>
      <c r="D25" s="20" t="s">
        <v>23</v>
      </c>
      <c r="E25" s="20">
        <v>0</v>
      </c>
      <c r="F25" s="20">
        <v>-0.34899999999999998</v>
      </c>
      <c r="G25" s="20">
        <v>-1.1000000000000001</v>
      </c>
      <c r="H25" s="20" t="s">
        <v>23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342</v>
      </c>
      <c r="B26" s="10" t="s">
        <v>343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344</v>
      </c>
      <c r="B27" s="10" t="s">
        <v>345</v>
      </c>
      <c r="C27" s="12">
        <v>0</v>
      </c>
      <c r="D27" s="12" t="s">
        <v>23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346</v>
      </c>
      <c r="B28" s="10" t="s">
        <v>347</v>
      </c>
      <c r="C28" s="12">
        <v>-5.4539999999999997</v>
      </c>
      <c r="D28" s="12" t="s">
        <v>23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348</v>
      </c>
      <c r="B29" s="10" t="s">
        <v>349</v>
      </c>
      <c r="C29" s="12" t="s">
        <v>23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350</v>
      </c>
      <c r="B30" s="10" t="s">
        <v>351</v>
      </c>
      <c r="C30" s="12" t="s">
        <v>23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352</v>
      </c>
      <c r="B31" s="10" t="s">
        <v>353</v>
      </c>
      <c r="C31" s="12" t="s">
        <v>23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354</v>
      </c>
      <c r="B32" s="10" t="s">
        <v>355</v>
      </c>
      <c r="C32" s="12" t="s">
        <v>23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356</v>
      </c>
      <c r="B33" s="10" t="s">
        <v>357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325</v>
      </c>
      <c r="B34" s="10" t="s">
        <v>358</v>
      </c>
      <c r="C34" s="12" t="s">
        <v>23</v>
      </c>
      <c r="D34" s="12" t="s">
        <v>23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327</v>
      </c>
      <c r="B35" s="6" t="s">
        <v>48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359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360</v>
      </c>
      <c r="B38" s="10" t="s">
        <v>361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362</v>
      </c>
      <c r="B39" s="10" t="s">
        <v>363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364</v>
      </c>
      <c r="B40" s="10" t="s">
        <v>365</v>
      </c>
      <c r="C40" s="12" t="s">
        <v>23</v>
      </c>
      <c r="D40" s="12" t="s">
        <v>23</v>
      </c>
      <c r="E40" s="12" t="s">
        <v>23</v>
      </c>
      <c r="F40" s="12" t="s">
        <v>23</v>
      </c>
      <c r="G40" s="12">
        <v>0</v>
      </c>
      <c r="H40" s="12" t="s">
        <v>23</v>
      </c>
      <c r="I40" s="12" t="s">
        <v>23</v>
      </c>
      <c r="J40" s="12" t="s">
        <v>23</v>
      </c>
      <c r="K40" s="12" t="s">
        <v>23</v>
      </c>
      <c r="L40" s="13"/>
    </row>
    <row r="41" spans="1:12" x14ac:dyDescent="0.25">
      <c r="A41" s="10" t="s">
        <v>366</v>
      </c>
      <c r="B41" s="10" t="s">
        <v>367</v>
      </c>
      <c r="C41" s="12" t="s">
        <v>23</v>
      </c>
      <c r="D41" s="12" t="s">
        <v>23</v>
      </c>
      <c r="E41" s="12" t="s">
        <v>23</v>
      </c>
      <c r="F41" s="12" t="s">
        <v>23</v>
      </c>
      <c r="G41" s="12">
        <v>0</v>
      </c>
      <c r="H41" s="12" t="s">
        <v>23</v>
      </c>
      <c r="I41" s="12" t="s">
        <v>23</v>
      </c>
      <c r="J41" s="12" t="s">
        <v>23</v>
      </c>
      <c r="K41" s="12" t="s">
        <v>23</v>
      </c>
      <c r="L41" s="13"/>
    </row>
    <row r="42" spans="1:12" x14ac:dyDescent="0.25">
      <c r="A42" s="10" t="s">
        <v>368</v>
      </c>
      <c r="B42" s="10" t="s">
        <v>369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-0.50800000000000001</v>
      </c>
      <c r="H42" s="12" t="s">
        <v>23</v>
      </c>
      <c r="I42" s="12" t="s">
        <v>23</v>
      </c>
      <c r="J42" s="12" t="s">
        <v>23</v>
      </c>
      <c r="K42" s="12" t="s">
        <v>23</v>
      </c>
      <c r="L42" s="13"/>
    </row>
    <row r="43" spans="1:12" x14ac:dyDescent="0.25">
      <c r="A43" s="10" t="s">
        <v>370</v>
      </c>
      <c r="B43" s="10" t="s">
        <v>371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372</v>
      </c>
      <c r="B44" s="10" t="s">
        <v>373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374</v>
      </c>
      <c r="B45" s="10" t="s">
        <v>375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376</v>
      </c>
      <c r="B46" s="10" t="s">
        <v>377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325</v>
      </c>
      <c r="B47" s="10" t="s">
        <v>378</v>
      </c>
      <c r="C47" s="12" t="s">
        <v>23</v>
      </c>
      <c r="D47" s="12" t="s">
        <v>23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359</v>
      </c>
      <c r="B48" s="6" t="s">
        <v>379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380</v>
      </c>
      <c r="B50" s="10" t="s">
        <v>381</v>
      </c>
      <c r="C50" s="12" t="s">
        <v>23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382</v>
      </c>
      <c r="B52" s="6" t="s">
        <v>383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384</v>
      </c>
      <c r="B54" s="6" t="s">
        <v>385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386</v>
      </c>
      <c r="B55" s="6" t="s">
        <v>387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55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22</v>
      </c>
      <c r="B58" s="6" t="s">
        <v>22</v>
      </c>
      <c r="C58" s="15" t="s">
        <v>23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388</v>
      </c>
      <c r="B59" s="6" t="s">
        <v>148</v>
      </c>
      <c r="C59" s="16" t="s">
        <v>23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389</v>
      </c>
      <c r="B60" s="6" t="s">
        <v>390</v>
      </c>
      <c r="C60" s="15" t="s">
        <v>23</v>
      </c>
      <c r="D60" s="15" t="s">
        <v>23</v>
      </c>
      <c r="E60" s="15" t="s">
        <v>23</v>
      </c>
      <c r="F60" s="15" t="s">
        <v>23</v>
      </c>
      <c r="G60" s="15" t="s">
        <v>23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27</v>
      </c>
      <c r="B61" s="6" t="s">
        <v>28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391</v>
      </c>
      <c r="B62" s="6" t="s">
        <v>392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393</v>
      </c>
      <c r="B63" s="6" t="s">
        <v>394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395</v>
      </c>
      <c r="B64" s="6" t="s">
        <v>64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396</v>
      </c>
      <c r="B65" s="6" t="s">
        <v>56</v>
      </c>
      <c r="C65" s="16" t="s">
        <v>23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397</v>
      </c>
      <c r="B66" s="6" t="s">
        <v>398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29</v>
      </c>
      <c r="B67" s="7"/>
      <c r="C67" s="7" t="s">
        <v>30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31</v>
      </c>
      <c r="B4" s="3"/>
      <c r="C4" s="4" t="s">
        <v>32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33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166</v>
      </c>
      <c r="B7" s="120" t="s">
        <v>167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401</v>
      </c>
    </row>
    <row r="8" spans="1:13" x14ac:dyDescent="0.25">
      <c r="A8" s="10" t="s">
        <v>168</v>
      </c>
      <c r="B8" s="10" t="s">
        <v>169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170</v>
      </c>
      <c r="B9" s="10" t="s">
        <v>171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172</v>
      </c>
      <c r="B10" s="120" t="s">
        <v>173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400</v>
      </c>
    </row>
    <row r="11" spans="1:13" x14ac:dyDescent="0.25">
      <c r="A11" s="10" t="s">
        <v>174</v>
      </c>
      <c r="B11" s="10" t="s">
        <v>175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176</v>
      </c>
      <c r="B12" s="10" t="s">
        <v>177</v>
      </c>
      <c r="C12" s="12" t="s">
        <v>23</v>
      </c>
      <c r="D12" s="12" t="s">
        <v>23</v>
      </c>
      <c r="E12" s="12" t="s">
        <v>23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178</v>
      </c>
      <c r="B13" s="120" t="s">
        <v>179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400</v>
      </c>
    </row>
    <row r="14" spans="1:13" x14ac:dyDescent="0.25">
      <c r="A14" s="10" t="s">
        <v>180</v>
      </c>
      <c r="B14" s="10" t="s">
        <v>181</v>
      </c>
      <c r="C14" s="12" t="s">
        <v>23</v>
      </c>
      <c r="D14" s="12" t="s">
        <v>23</v>
      </c>
      <c r="E14" s="12" t="s">
        <v>23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182</v>
      </c>
      <c r="B15" s="10" t="s">
        <v>183</v>
      </c>
      <c r="C15" s="12" t="s">
        <v>23</v>
      </c>
      <c r="D15" s="12" t="s">
        <v>23</v>
      </c>
      <c r="E15" s="12" t="s">
        <v>23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184</v>
      </c>
      <c r="B16" s="10" t="s">
        <v>185</v>
      </c>
      <c r="C16" s="12" t="s">
        <v>23</v>
      </c>
      <c r="D16" s="12" t="s">
        <v>23</v>
      </c>
      <c r="E16" s="12" t="s">
        <v>23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186</v>
      </c>
      <c r="B17" s="10" t="s">
        <v>187</v>
      </c>
      <c r="C17" s="12" t="s">
        <v>23</v>
      </c>
      <c r="D17" s="12" t="s">
        <v>23</v>
      </c>
      <c r="E17" s="12" t="s">
        <v>23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188</v>
      </c>
      <c r="B18" s="80" t="s">
        <v>189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400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190</v>
      </c>
      <c r="B19" s="10" t="s">
        <v>191</v>
      </c>
      <c r="C19" s="12" t="s">
        <v>23</v>
      </c>
      <c r="D19" s="12" t="s">
        <v>23</v>
      </c>
      <c r="E19" s="12">
        <v>4.0000000000000001E-3</v>
      </c>
      <c r="F19" s="12" t="s">
        <v>23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192</v>
      </c>
      <c r="B20" s="10" t="s">
        <v>193</v>
      </c>
      <c r="C20" s="12" t="s">
        <v>23</v>
      </c>
      <c r="D20" s="12" t="s">
        <v>23</v>
      </c>
      <c r="E20" s="12" t="s">
        <v>23</v>
      </c>
      <c r="F20" s="12" t="s">
        <v>23</v>
      </c>
      <c r="G20" s="12" t="s">
        <v>23</v>
      </c>
      <c r="H20" s="12" t="s">
        <v>23</v>
      </c>
      <c r="I20" s="12" t="s">
        <v>23</v>
      </c>
      <c r="J20" s="12" t="s">
        <v>23</v>
      </c>
      <c r="K20" s="12" t="s">
        <v>23</v>
      </c>
      <c r="L20" s="12">
        <v>0</v>
      </c>
    </row>
    <row r="21" spans="1:19" x14ac:dyDescent="0.25">
      <c r="A21" s="10" t="s">
        <v>194</v>
      </c>
      <c r="B21" s="10" t="s">
        <v>195</v>
      </c>
      <c r="C21" s="12" t="s">
        <v>23</v>
      </c>
      <c r="D21" s="12" t="s">
        <v>23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196</v>
      </c>
      <c r="B22" s="80" t="s">
        <v>197</v>
      </c>
      <c r="C22" s="79" t="s">
        <v>23</v>
      </c>
      <c r="D22" s="79" t="s">
        <v>23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39</v>
      </c>
      <c r="B23" s="6" t="s">
        <v>40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198</v>
      </c>
      <c r="B24" s="10" t="s">
        <v>199</v>
      </c>
      <c r="C24" s="12">
        <v>0</v>
      </c>
      <c r="D24" s="12" t="s">
        <v>23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200</v>
      </c>
      <c r="B25" s="10" t="s">
        <v>201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202</v>
      </c>
      <c r="B26" s="10" t="s">
        <v>203</v>
      </c>
      <c r="C26" s="12">
        <v>0.23699999999999999</v>
      </c>
      <c r="D26" s="12">
        <v>5.2240000000000002</v>
      </c>
      <c r="E26" s="12" t="s">
        <v>23</v>
      </c>
      <c r="F26" s="12" t="s">
        <v>23</v>
      </c>
      <c r="G26" s="12" t="s">
        <v>23</v>
      </c>
      <c r="H26" s="12" t="s">
        <v>23</v>
      </c>
      <c r="I26" s="12" t="s">
        <v>23</v>
      </c>
      <c r="J26" s="12" t="s">
        <v>23</v>
      </c>
      <c r="K26" s="12" t="s">
        <v>23</v>
      </c>
      <c r="L26" s="12" t="s">
        <v>23</v>
      </c>
    </row>
    <row r="27" spans="1:19" x14ac:dyDescent="0.25">
      <c r="A27" s="80" t="s">
        <v>204</v>
      </c>
      <c r="B27" s="80" t="s">
        <v>205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444</v>
      </c>
    </row>
    <row r="28" spans="1:19" x14ac:dyDescent="0.25">
      <c r="A28" s="10" t="s">
        <v>206</v>
      </c>
      <c r="B28" s="10" t="s">
        <v>207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208</v>
      </c>
      <c r="B29" s="11" t="s">
        <v>209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210</v>
      </c>
      <c r="B30" s="11" t="s">
        <v>211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192</v>
      </c>
      <c r="B31" s="10" t="s">
        <v>212</v>
      </c>
      <c r="C31" s="12" t="s">
        <v>23</v>
      </c>
      <c r="D31" s="12" t="s">
        <v>23</v>
      </c>
      <c r="E31" s="12" t="s">
        <v>23</v>
      </c>
      <c r="F31" s="12" t="s">
        <v>23</v>
      </c>
      <c r="G31" s="12" t="s">
        <v>23</v>
      </c>
      <c r="H31" s="12" t="s">
        <v>23</v>
      </c>
      <c r="I31" s="12" t="s">
        <v>23</v>
      </c>
      <c r="J31" s="12" t="s">
        <v>23</v>
      </c>
      <c r="K31" s="12" t="s">
        <v>23</v>
      </c>
      <c r="L31" s="12">
        <v>0.35899999999999999</v>
      </c>
    </row>
    <row r="32" spans="1:19" x14ac:dyDescent="0.25">
      <c r="A32" s="10" t="s">
        <v>213</v>
      </c>
      <c r="B32" s="10" t="s">
        <v>214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215</v>
      </c>
      <c r="B33" s="77" t="s">
        <v>216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217</v>
      </c>
      <c r="B34" s="6" t="s">
        <v>218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41</v>
      </c>
      <c r="B35" s="6" t="s">
        <v>42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219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220</v>
      </c>
      <c r="B38" s="120" t="s">
        <v>221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400</v>
      </c>
    </row>
    <row r="39" spans="1:19" x14ac:dyDescent="0.25">
      <c r="A39" s="10" t="s">
        <v>222</v>
      </c>
      <c r="B39" s="10" t="s">
        <v>223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224</v>
      </c>
      <c r="B40" s="10" t="s">
        <v>225</v>
      </c>
      <c r="C40" s="12" t="s">
        <v>23</v>
      </c>
      <c r="D40" s="12" t="s">
        <v>23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226</v>
      </c>
      <c r="B41" s="80" t="s">
        <v>227</v>
      </c>
      <c r="C41" s="79" t="s">
        <v>23</v>
      </c>
      <c r="D41" s="79" t="s">
        <v>23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820</v>
      </c>
    </row>
    <row r="42" spans="1:19" x14ac:dyDescent="0.25">
      <c r="A42" s="10" t="s">
        <v>228</v>
      </c>
      <c r="B42" s="10" t="s">
        <v>229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230</v>
      </c>
      <c r="B43" s="120" t="s">
        <v>231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401</v>
      </c>
    </row>
    <row r="44" spans="1:19" x14ac:dyDescent="0.25">
      <c r="A44" s="10" t="s">
        <v>232</v>
      </c>
      <c r="B44" s="10" t="s">
        <v>233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234</v>
      </c>
      <c r="B45" s="10" t="s">
        <v>235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236</v>
      </c>
      <c r="B46" s="11" t="s">
        <v>237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238</v>
      </c>
      <c r="B47" s="80" t="s">
        <v>239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400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240</v>
      </c>
      <c r="B48" s="10" t="s">
        <v>241</v>
      </c>
      <c r="C48" s="12" t="s">
        <v>23</v>
      </c>
      <c r="D48" s="12" t="s">
        <v>23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23</v>
      </c>
    </row>
    <row r="49" spans="1:16" x14ac:dyDescent="0.25">
      <c r="A49" s="10" t="s">
        <v>242</v>
      </c>
      <c r="B49" s="10" t="s">
        <v>243</v>
      </c>
      <c r="C49" s="12" t="s">
        <v>23</v>
      </c>
      <c r="D49" s="12" t="s">
        <v>23</v>
      </c>
      <c r="E49" s="12" t="s">
        <v>23</v>
      </c>
      <c r="F49" s="12" t="s">
        <v>23</v>
      </c>
      <c r="G49" s="12" t="s">
        <v>23</v>
      </c>
      <c r="H49" s="12" t="s">
        <v>23</v>
      </c>
      <c r="I49" s="12" t="s">
        <v>23</v>
      </c>
      <c r="J49" s="12" t="s">
        <v>23</v>
      </c>
      <c r="K49" s="12" t="s">
        <v>23</v>
      </c>
      <c r="L49" s="12">
        <v>8.7999999999999995E-2</v>
      </c>
    </row>
    <row r="50" spans="1:16" x14ac:dyDescent="0.25">
      <c r="A50" s="80" t="s">
        <v>244</v>
      </c>
      <c r="B50" s="80" t="s">
        <v>245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43</v>
      </c>
      <c r="B51" s="6" t="s">
        <v>44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246</v>
      </c>
      <c r="B52" s="120" t="s">
        <v>247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401</v>
      </c>
    </row>
    <row r="53" spans="1:16" x14ac:dyDescent="0.25">
      <c r="A53" s="10" t="s">
        <v>248</v>
      </c>
      <c r="B53" s="10" t="s">
        <v>249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250</v>
      </c>
      <c r="B54" s="10" t="s">
        <v>251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252</v>
      </c>
      <c r="B55" s="11" t="s">
        <v>253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254</v>
      </c>
      <c r="B56" s="120" t="s">
        <v>255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256</v>
      </c>
      <c r="B57" s="10" t="s">
        <v>257</v>
      </c>
      <c r="C57" s="12" t="s">
        <v>23</v>
      </c>
      <c r="D57" s="12" t="s">
        <v>23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23</v>
      </c>
    </row>
    <row r="58" spans="1:16" x14ac:dyDescent="0.25">
      <c r="A58" s="10" t="s">
        <v>240</v>
      </c>
      <c r="B58" s="10" t="s">
        <v>258</v>
      </c>
      <c r="C58" s="12" t="s">
        <v>23</v>
      </c>
      <c r="D58" s="12" t="s">
        <v>23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23</v>
      </c>
    </row>
    <row r="59" spans="1:16" x14ac:dyDescent="0.25">
      <c r="A59" s="10" t="s">
        <v>259</v>
      </c>
      <c r="B59" s="10" t="s">
        <v>260</v>
      </c>
      <c r="C59" s="12" t="s">
        <v>23</v>
      </c>
      <c r="D59" s="12" t="s">
        <v>23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242</v>
      </c>
      <c r="B60" s="10" t="s">
        <v>261</v>
      </c>
      <c r="C60" s="12" t="s">
        <v>23</v>
      </c>
      <c r="D60" s="12" t="s">
        <v>23</v>
      </c>
      <c r="E60" s="12" t="s">
        <v>23</v>
      </c>
      <c r="F60" s="12" t="s">
        <v>23</v>
      </c>
      <c r="G60" s="12" t="s">
        <v>23</v>
      </c>
      <c r="H60" s="12" t="s">
        <v>23</v>
      </c>
      <c r="I60" s="12" t="s">
        <v>23</v>
      </c>
      <c r="J60" s="12" t="s">
        <v>23</v>
      </c>
      <c r="K60" s="12" t="s">
        <v>23</v>
      </c>
      <c r="L60" s="12">
        <v>0</v>
      </c>
    </row>
    <row r="61" spans="1:16" x14ac:dyDescent="0.25">
      <c r="A61" s="80" t="s">
        <v>262</v>
      </c>
      <c r="B61" s="80" t="s">
        <v>263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264</v>
      </c>
      <c r="B62" s="6" t="s">
        <v>265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266</v>
      </c>
      <c r="B63" s="6" t="s">
        <v>45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267</v>
      </c>
      <c r="B64" s="10" t="s">
        <v>53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268</v>
      </c>
      <c r="B65" s="10" t="s">
        <v>269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270</v>
      </c>
      <c r="B66" s="10" t="s">
        <v>271</v>
      </c>
      <c r="C66" s="12" t="s">
        <v>23</v>
      </c>
      <c r="D66" s="12" t="s">
        <v>23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272</v>
      </c>
      <c r="B67" s="10" t="s">
        <v>273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274</v>
      </c>
      <c r="B68" s="10" t="s">
        <v>275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276</v>
      </c>
      <c r="B69" s="80" t="s">
        <v>277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278</v>
      </c>
      <c r="B70" s="6" t="s">
        <v>279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280</v>
      </c>
      <c r="B71" s="10" t="s">
        <v>54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281</v>
      </c>
      <c r="B72" s="6" t="s">
        <v>46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282</v>
      </c>
      <c r="B73" s="6" t="s">
        <v>283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55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144</v>
      </c>
      <c r="B76" s="6" t="s">
        <v>145</v>
      </c>
      <c r="C76" s="14" t="s">
        <v>146</v>
      </c>
      <c r="D76" s="14" t="s">
        <v>146</v>
      </c>
      <c r="E76" s="14" t="s">
        <v>146</v>
      </c>
      <c r="F76" s="14" t="s">
        <v>146</v>
      </c>
      <c r="G76" s="14" t="s">
        <v>146</v>
      </c>
      <c r="H76" s="14" t="s">
        <v>146</v>
      </c>
      <c r="I76" s="14" t="s">
        <v>146</v>
      </c>
      <c r="J76" s="14" t="s">
        <v>146</v>
      </c>
      <c r="K76" s="14" t="s">
        <v>146</v>
      </c>
      <c r="L76" s="14" t="s">
        <v>146</v>
      </c>
    </row>
    <row r="77" spans="1:18" x14ac:dyDescent="0.25">
      <c r="A77" s="89" t="s">
        <v>284</v>
      </c>
      <c r="B77" s="89" t="s">
        <v>47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285</v>
      </c>
      <c r="B78" s="6" t="s">
        <v>286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287</v>
      </c>
      <c r="B79" s="6" t="s">
        <v>288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289</v>
      </c>
      <c r="B80" s="6" t="s">
        <v>290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291</v>
      </c>
      <c r="B81" s="6" t="s">
        <v>292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293</v>
      </c>
      <c r="B82" s="6" t="s">
        <v>294</v>
      </c>
      <c r="C82" s="15" t="s">
        <v>23</v>
      </c>
      <c r="D82" s="15" t="s">
        <v>23</v>
      </c>
      <c r="E82" s="15" t="s">
        <v>23</v>
      </c>
      <c r="F82" s="15" t="s">
        <v>23</v>
      </c>
      <c r="G82" s="15" t="s">
        <v>23</v>
      </c>
      <c r="H82" s="15" t="s">
        <v>23</v>
      </c>
      <c r="I82" s="15" t="s">
        <v>23</v>
      </c>
      <c r="J82" s="15" t="s">
        <v>23</v>
      </c>
      <c r="K82" s="15" t="s">
        <v>23</v>
      </c>
      <c r="L82" s="15" t="s">
        <v>23</v>
      </c>
    </row>
    <row r="83" spans="1:12" x14ac:dyDescent="0.25">
      <c r="A83" s="6" t="s">
        <v>295</v>
      </c>
      <c r="B83" s="6" t="s">
        <v>296</v>
      </c>
      <c r="C83" s="15" t="s">
        <v>23</v>
      </c>
      <c r="D83" s="15" t="s">
        <v>23</v>
      </c>
      <c r="E83" s="15" t="s">
        <v>23</v>
      </c>
      <c r="F83" s="15" t="s">
        <v>23</v>
      </c>
      <c r="G83" s="15" t="s">
        <v>23</v>
      </c>
      <c r="H83" s="15" t="s">
        <v>23</v>
      </c>
      <c r="I83" s="15" t="s">
        <v>23</v>
      </c>
      <c r="J83" s="15" t="s">
        <v>23</v>
      </c>
      <c r="K83" s="15" t="s">
        <v>23</v>
      </c>
      <c r="L83" s="15" t="s">
        <v>23</v>
      </c>
    </row>
    <row r="84" spans="1:12" x14ac:dyDescent="0.25">
      <c r="A84" s="6" t="s">
        <v>297</v>
      </c>
      <c r="B84" s="6" t="s">
        <v>298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299</v>
      </c>
      <c r="B85" s="6" t="s">
        <v>300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301</v>
      </c>
      <c r="B86" s="6" t="s">
        <v>302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303</v>
      </c>
      <c r="B87" s="6" t="s">
        <v>304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305</v>
      </c>
      <c r="B88" s="6" t="s">
        <v>306</v>
      </c>
      <c r="C88" s="16">
        <v>26.553999999999998</v>
      </c>
      <c r="D88" s="16" t="s">
        <v>23</v>
      </c>
      <c r="E88" s="16" t="s">
        <v>23</v>
      </c>
      <c r="F88" s="16" t="s">
        <v>23</v>
      </c>
      <c r="G88" s="16" t="s">
        <v>23</v>
      </c>
      <c r="H88" s="16" t="s">
        <v>23</v>
      </c>
      <c r="I88" s="16" t="s">
        <v>23</v>
      </c>
      <c r="J88" s="16" t="s">
        <v>23</v>
      </c>
      <c r="K88" s="16" t="s">
        <v>23</v>
      </c>
      <c r="L88" s="16" t="s">
        <v>23</v>
      </c>
    </row>
    <row r="89" spans="1:12" x14ac:dyDescent="0.25">
      <c r="A89" s="7" t="s">
        <v>29</v>
      </c>
      <c r="B89" s="7"/>
      <c r="C89" s="7" t="s">
        <v>30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466</v>
      </c>
      <c r="B5" s="102" t="s">
        <v>467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468</v>
      </c>
      <c r="B6" s="242" t="s">
        <v>469</v>
      </c>
      <c r="C6" s="243" t="s">
        <v>829</v>
      </c>
      <c r="D6" s="243" t="s">
        <v>830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470</v>
      </c>
      <c r="B7" s="102" t="s">
        <v>471</v>
      </c>
      <c r="C7" s="103" t="s">
        <v>831</v>
      </c>
      <c r="D7" s="103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473</v>
      </c>
      <c r="B8" s="102" t="s">
        <v>474</v>
      </c>
      <c r="C8" s="103" t="s">
        <v>831</v>
      </c>
      <c r="D8" s="103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475</v>
      </c>
      <c r="B9" s="102" t="s">
        <v>476</v>
      </c>
      <c r="C9" s="103" t="s">
        <v>831</v>
      </c>
      <c r="D9" s="103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477</v>
      </c>
      <c r="B10" s="102" t="s">
        <v>478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479</v>
      </c>
      <c r="B11" s="102" t="s">
        <v>480</v>
      </c>
      <c r="C11" s="103" t="s">
        <v>832</v>
      </c>
      <c r="D11" s="103" t="s">
        <v>833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481</v>
      </c>
      <c r="B12" s="102" t="s">
        <v>482</v>
      </c>
      <c r="C12" s="103" t="s">
        <v>832</v>
      </c>
      <c r="D12" s="103" t="s">
        <v>833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483</v>
      </c>
      <c r="B13" s="102" t="s">
        <v>484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485</v>
      </c>
      <c r="B14" s="102" t="s">
        <v>486</v>
      </c>
      <c r="C14" s="103" t="s">
        <v>834</v>
      </c>
      <c r="D14" s="103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488</v>
      </c>
      <c r="B15" s="102" t="s">
        <v>489</v>
      </c>
      <c r="C15" s="103" t="s">
        <v>835</v>
      </c>
      <c r="D15" s="103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491</v>
      </c>
      <c r="B16" s="102" t="s">
        <v>492</v>
      </c>
      <c r="C16" s="103" t="s">
        <v>836</v>
      </c>
      <c r="D16" s="103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494</v>
      </c>
      <c r="B17" s="102" t="s">
        <v>495</v>
      </c>
      <c r="C17" s="103" t="s">
        <v>837</v>
      </c>
      <c r="D17" s="103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497</v>
      </c>
      <c r="B18" s="102" t="s">
        <v>498</v>
      </c>
      <c r="C18" s="103" t="s">
        <v>838</v>
      </c>
      <c r="D18" s="103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500</v>
      </c>
      <c r="B19" s="102" t="s">
        <v>501</v>
      </c>
      <c r="C19" s="103" t="s">
        <v>839</v>
      </c>
      <c r="D19" s="103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503</v>
      </c>
      <c r="B20" s="102" t="s">
        <v>504</v>
      </c>
      <c r="C20" s="103" t="s">
        <v>840</v>
      </c>
      <c r="D20" s="103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506</v>
      </c>
      <c r="B21" s="102" t="s">
        <v>507</v>
      </c>
      <c r="C21" s="103" t="s">
        <v>841</v>
      </c>
      <c r="D21" s="103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509</v>
      </c>
      <c r="B22" s="102" t="s">
        <v>510</v>
      </c>
      <c r="C22" s="103" t="s">
        <v>842</v>
      </c>
      <c r="D22" s="103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512</v>
      </c>
      <c r="B23" s="102" t="s">
        <v>513</v>
      </c>
      <c r="C23" s="103" t="s">
        <v>843</v>
      </c>
      <c r="D23" s="103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514</v>
      </c>
      <c r="B24" s="105" t="s">
        <v>513</v>
      </c>
      <c r="C24" s="106" t="s">
        <v>843</v>
      </c>
      <c r="D24" s="106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515</v>
      </c>
      <c r="B25" s="102" t="s">
        <v>516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517</v>
      </c>
      <c r="B26" s="102" t="s">
        <v>518</v>
      </c>
      <c r="C26" s="103" t="s">
        <v>843</v>
      </c>
      <c r="D26" s="103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519</v>
      </c>
      <c r="B27" s="102" t="s">
        <v>520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521</v>
      </c>
      <c r="B28" s="102" t="s">
        <v>522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523</v>
      </c>
      <c r="B29" s="102" t="s">
        <v>524</v>
      </c>
      <c r="C29" s="103" t="s">
        <v>844</v>
      </c>
      <c r="D29" s="103" t="s">
        <v>845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525</v>
      </c>
      <c r="B30" s="102" t="s">
        <v>526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527</v>
      </c>
      <c r="B31" s="102" t="s">
        <v>528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529</v>
      </c>
      <c r="B32" s="102" t="s">
        <v>530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531</v>
      </c>
      <c r="B33" s="102" t="s">
        <v>532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533</v>
      </c>
      <c r="B34" s="102" t="s">
        <v>534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535</v>
      </c>
      <c r="B35" s="102" t="s">
        <v>504</v>
      </c>
      <c r="C35" s="103" t="s">
        <v>844</v>
      </c>
      <c r="D35" s="103" t="s">
        <v>845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536</v>
      </c>
      <c r="B36" s="102" t="s">
        <v>537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538</v>
      </c>
      <c r="B37" s="102" t="s">
        <v>539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540</v>
      </c>
      <c r="B38" s="102" t="s">
        <v>541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542</v>
      </c>
      <c r="B39" s="102" t="s">
        <v>543</v>
      </c>
      <c r="C39" s="103" t="s">
        <v>846</v>
      </c>
      <c r="D39" s="103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545</v>
      </c>
      <c r="B40" s="102" t="s">
        <v>546</v>
      </c>
      <c r="C40" s="103" t="s">
        <v>847</v>
      </c>
      <c r="D40" s="103" t="s">
        <v>848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547</v>
      </c>
      <c r="B41" s="102" t="s">
        <v>548</v>
      </c>
      <c r="C41" s="103" t="s">
        <v>849</v>
      </c>
      <c r="D41" s="103" t="s">
        <v>850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549</v>
      </c>
      <c r="B42" s="102" t="s">
        <v>550</v>
      </c>
      <c r="C42" s="103" t="s">
        <v>851</v>
      </c>
      <c r="D42" s="103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551</v>
      </c>
      <c r="B43" s="102" t="s">
        <v>552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553</v>
      </c>
      <c r="B44" s="102" t="s">
        <v>554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555</v>
      </c>
      <c r="B45" s="102" t="s">
        <v>556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557</v>
      </c>
      <c r="B46" s="102" t="s">
        <v>558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559</v>
      </c>
      <c r="B47" s="102" t="s">
        <v>560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561</v>
      </c>
      <c r="B48" s="102" t="s">
        <v>562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563</v>
      </c>
      <c r="B49" s="102" t="s">
        <v>564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565</v>
      </c>
      <c r="B50" s="102" t="s">
        <v>566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567</v>
      </c>
      <c r="B51" s="102" t="s">
        <v>568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569</v>
      </c>
      <c r="B52" s="102" t="s">
        <v>570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571</v>
      </c>
      <c r="B53" s="102" t="s">
        <v>572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573</v>
      </c>
      <c r="B54" s="102" t="s">
        <v>574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575</v>
      </c>
      <c r="B55" s="102" t="s">
        <v>576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577</v>
      </c>
      <c r="B56" s="242" t="s">
        <v>578</v>
      </c>
      <c r="C56" s="243" t="s">
        <v>852</v>
      </c>
      <c r="D56" s="243" t="s">
        <v>853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579</v>
      </c>
      <c r="B57" s="102" t="s">
        <v>513</v>
      </c>
      <c r="C57" s="103" t="s">
        <v>854</v>
      </c>
      <c r="D57" s="103" t="s">
        <v>855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580</v>
      </c>
      <c r="B58" s="105" t="s">
        <v>513</v>
      </c>
      <c r="C58" s="106" t="s">
        <v>854</v>
      </c>
      <c r="D58" s="244" t="s">
        <v>880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581</v>
      </c>
      <c r="B59" s="102" t="s">
        <v>516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582</v>
      </c>
      <c r="B60" s="102" t="s">
        <v>518</v>
      </c>
      <c r="C60" s="103" t="s">
        <v>854</v>
      </c>
      <c r="D60" s="103" t="s">
        <v>855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583</v>
      </c>
      <c r="B61" s="102" t="s">
        <v>520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584</v>
      </c>
      <c r="B62" s="102" t="s">
        <v>522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585</v>
      </c>
      <c r="B63" s="102" t="s">
        <v>524</v>
      </c>
      <c r="C63" s="103" t="s">
        <v>856</v>
      </c>
      <c r="D63" s="103" t="s">
        <v>857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586</v>
      </c>
      <c r="B64" s="102" t="s">
        <v>526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587</v>
      </c>
      <c r="B65" s="102" t="s">
        <v>528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588</v>
      </c>
      <c r="B66" s="102" t="s">
        <v>530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589</v>
      </c>
      <c r="B67" s="102" t="s">
        <v>532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590</v>
      </c>
      <c r="B68" s="102" t="s">
        <v>534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591</v>
      </c>
      <c r="B69" s="102" t="s">
        <v>504</v>
      </c>
      <c r="C69" s="103" t="s">
        <v>856</v>
      </c>
      <c r="D69" s="103" t="s">
        <v>857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592</v>
      </c>
      <c r="B70" s="102" t="s">
        <v>541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593</v>
      </c>
      <c r="B71" s="102" t="s">
        <v>594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595</v>
      </c>
      <c r="B72" s="102" t="s">
        <v>543</v>
      </c>
      <c r="C72" s="103" t="s">
        <v>858</v>
      </c>
      <c r="D72" s="103" t="s">
        <v>859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596</v>
      </c>
      <c r="B73" s="102" t="s">
        <v>597</v>
      </c>
      <c r="C73" s="103" t="s">
        <v>860</v>
      </c>
      <c r="D73" s="103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599</v>
      </c>
      <c r="B74" s="102" t="s">
        <v>552</v>
      </c>
      <c r="C74" s="103" t="s">
        <v>861</v>
      </c>
      <c r="D74" s="103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862</v>
      </c>
      <c r="B75" s="102" t="s">
        <v>863</v>
      </c>
      <c r="C75" s="103" t="s">
        <v>864</v>
      </c>
      <c r="D75" s="103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601</v>
      </c>
      <c r="B76" s="102" t="s">
        <v>602</v>
      </c>
      <c r="C76" s="103" t="s">
        <v>865</v>
      </c>
      <c r="D76" s="103" t="s">
        <v>866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603</v>
      </c>
      <c r="B77" s="102" t="s">
        <v>604</v>
      </c>
      <c r="C77" s="103" t="s">
        <v>865</v>
      </c>
      <c r="D77" s="103" t="s">
        <v>866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605</v>
      </c>
      <c r="B78" s="102" t="s">
        <v>552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606</v>
      </c>
      <c r="B79" s="102" t="s">
        <v>554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607</v>
      </c>
      <c r="B80" s="102" t="s">
        <v>556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608</v>
      </c>
      <c r="B81" s="102" t="s">
        <v>558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609</v>
      </c>
      <c r="B82" s="102" t="s">
        <v>560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610</v>
      </c>
      <c r="B83" s="102" t="s">
        <v>562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611</v>
      </c>
      <c r="B84" s="102" t="s">
        <v>564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612</v>
      </c>
      <c r="B85" s="102" t="s">
        <v>566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613</v>
      </c>
      <c r="B86" s="102" t="s">
        <v>568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614</v>
      </c>
      <c r="B87" s="102" t="s">
        <v>570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615</v>
      </c>
      <c r="B88" s="102" t="s">
        <v>572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616</v>
      </c>
      <c r="B89" s="102" t="s">
        <v>574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617</v>
      </c>
      <c r="B90" s="102" t="s">
        <v>576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618</v>
      </c>
      <c r="B91" s="102" t="s">
        <v>619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620</v>
      </c>
      <c r="B92" s="102" t="s">
        <v>621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622</v>
      </c>
      <c r="B93" s="102" t="s">
        <v>623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624</v>
      </c>
      <c r="B94" s="102" t="s">
        <v>625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626</v>
      </c>
      <c r="B95" s="259" t="s">
        <v>627</v>
      </c>
      <c r="C95" s="260" t="s">
        <v>867</v>
      </c>
      <c r="D95" s="260" t="s">
        <v>868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628</v>
      </c>
      <c r="B96" s="102" t="s">
        <v>629</v>
      </c>
      <c r="C96" s="103" t="s">
        <v>869</v>
      </c>
      <c r="D96" s="103" t="s">
        <v>869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630</v>
      </c>
      <c r="B97" s="102" t="s">
        <v>631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632</v>
      </c>
      <c r="B98" s="102" t="s">
        <v>633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634</v>
      </c>
      <c r="B99" s="102" t="s">
        <v>635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636</v>
      </c>
      <c r="B100" s="102" t="s">
        <v>637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638</v>
      </c>
      <c r="B101" s="102" t="s">
        <v>639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640</v>
      </c>
      <c r="B102" s="102" t="s">
        <v>641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642</v>
      </c>
      <c r="B103" s="102" t="s">
        <v>594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643</v>
      </c>
      <c r="B104" s="102" t="s">
        <v>644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645</v>
      </c>
      <c r="B105" s="102" t="s">
        <v>646</v>
      </c>
      <c r="C105" s="103" t="s">
        <v>870</v>
      </c>
      <c r="D105" s="103" t="s">
        <v>871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647</v>
      </c>
      <c r="B106" s="102" t="s">
        <v>648</v>
      </c>
      <c r="C106" s="103" t="s">
        <v>872</v>
      </c>
      <c r="D106" s="103" t="s">
        <v>872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649</v>
      </c>
      <c r="B107" s="102" t="s">
        <v>650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651</v>
      </c>
      <c r="B108" s="102" t="s">
        <v>652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653</v>
      </c>
      <c r="B109" s="102" t="s">
        <v>654</v>
      </c>
      <c r="C109" s="103" t="s">
        <v>873</v>
      </c>
      <c r="D109" s="103" t="s">
        <v>874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655</v>
      </c>
      <c r="B110" s="102" t="s">
        <v>656</v>
      </c>
      <c r="C110" s="103" t="s">
        <v>875</v>
      </c>
      <c r="D110" s="103" t="s">
        <v>875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657</v>
      </c>
      <c r="B111" s="102" t="s">
        <v>658</v>
      </c>
      <c r="C111" s="103" t="s">
        <v>876</v>
      </c>
      <c r="D111" s="103" t="s">
        <v>876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659</v>
      </c>
      <c r="B112" s="102" t="s">
        <v>660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661</v>
      </c>
      <c r="B113" s="102" t="s">
        <v>662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663</v>
      </c>
      <c r="B114" s="102" t="s">
        <v>641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664</v>
      </c>
      <c r="B115" s="102" t="s">
        <v>665</v>
      </c>
      <c r="C115" s="103" t="s">
        <v>877</v>
      </c>
      <c r="D115" s="103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666</v>
      </c>
      <c r="B116" s="102" t="s">
        <v>667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668</v>
      </c>
      <c r="B117" s="102" t="s">
        <v>669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670</v>
      </c>
      <c r="B118" s="102" t="s">
        <v>671</v>
      </c>
      <c r="C118" s="103" t="s">
        <v>598</v>
      </c>
      <c r="D118" s="103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D6" sqref="D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1051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886</v>
      </c>
      <c r="B5" s="102" t="s">
        <v>887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888</v>
      </c>
      <c r="B6" s="242" t="s">
        <v>889</v>
      </c>
      <c r="C6" s="243" t="s">
        <v>890</v>
      </c>
      <c r="D6" s="243" t="s">
        <v>891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892</v>
      </c>
      <c r="B7" s="102" t="s">
        <v>893</v>
      </c>
      <c r="C7" s="103" t="s">
        <v>894</v>
      </c>
      <c r="D7" s="103" t="s">
        <v>895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896</v>
      </c>
      <c r="B8" s="102" t="s">
        <v>897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898</v>
      </c>
      <c r="B9" s="102" t="s">
        <v>899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900</v>
      </c>
      <c r="B10" s="102" t="s">
        <v>901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902</v>
      </c>
      <c r="B11" s="102" t="s">
        <v>903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904</v>
      </c>
      <c r="B12" s="102" t="s">
        <v>905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906</v>
      </c>
      <c r="B13" s="102" t="s">
        <v>907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908</v>
      </c>
      <c r="B14" s="102" t="s">
        <v>909</v>
      </c>
      <c r="C14" s="103" t="s">
        <v>910</v>
      </c>
      <c r="D14" s="103" t="s">
        <v>911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912</v>
      </c>
      <c r="B15" s="102" t="s">
        <v>913</v>
      </c>
      <c r="C15" s="103" t="s">
        <v>910</v>
      </c>
      <c r="D15" s="103" t="s">
        <v>911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914</v>
      </c>
      <c r="B16" s="102" t="s">
        <v>915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916</v>
      </c>
      <c r="B17" s="102" t="s">
        <v>917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918</v>
      </c>
      <c r="B18" s="102" t="s">
        <v>919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920</v>
      </c>
      <c r="B19" s="102" t="s">
        <v>921</v>
      </c>
      <c r="C19" s="103" t="s">
        <v>922</v>
      </c>
      <c r="D19" s="103" t="s">
        <v>923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924</v>
      </c>
      <c r="B20" s="102" t="s">
        <v>925</v>
      </c>
      <c r="C20" s="103" t="s">
        <v>922</v>
      </c>
      <c r="D20" s="103" t="s">
        <v>923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926</v>
      </c>
      <c r="B21" s="102" t="s">
        <v>927</v>
      </c>
      <c r="C21" s="103" t="s">
        <v>928</v>
      </c>
      <c r="D21" s="103" t="s">
        <v>929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930</v>
      </c>
      <c r="B22" s="102" t="s">
        <v>931</v>
      </c>
      <c r="C22" s="103" t="s">
        <v>932</v>
      </c>
      <c r="D22" s="103" t="s">
        <v>933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934</v>
      </c>
      <c r="B23" s="102" t="s">
        <v>935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936</v>
      </c>
      <c r="B24" s="249" t="s">
        <v>937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938</v>
      </c>
      <c r="B25" s="102" t="s">
        <v>504</v>
      </c>
      <c r="C25" s="103" t="s">
        <v>932</v>
      </c>
      <c r="D25" s="103" t="s">
        <v>933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939</v>
      </c>
      <c r="B26" s="102" t="s">
        <v>940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941</v>
      </c>
      <c r="B27" s="102" t="s">
        <v>942</v>
      </c>
      <c r="C27" s="103" t="s">
        <v>943</v>
      </c>
      <c r="D27" s="103" t="s">
        <v>944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945</v>
      </c>
      <c r="B28" s="102" t="s">
        <v>504</v>
      </c>
      <c r="C28" s="103" t="s">
        <v>946</v>
      </c>
      <c r="D28" s="103" t="s">
        <v>947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948</v>
      </c>
      <c r="B29" s="102" t="s">
        <v>949</v>
      </c>
      <c r="C29" s="103" t="s">
        <v>950</v>
      </c>
      <c r="D29" s="103" t="s">
        <v>951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952</v>
      </c>
      <c r="B30" s="102" t="s">
        <v>953</v>
      </c>
      <c r="C30" s="103" t="s">
        <v>954</v>
      </c>
      <c r="D30" s="103" t="s">
        <v>955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956</v>
      </c>
      <c r="B31" s="102" t="s">
        <v>899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957</v>
      </c>
      <c r="B32" s="102" t="s">
        <v>903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958</v>
      </c>
      <c r="B33" s="102" t="s">
        <v>905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959</v>
      </c>
      <c r="B34" s="102" t="s">
        <v>907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960</v>
      </c>
      <c r="B35" s="102" t="s">
        <v>909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961</v>
      </c>
      <c r="B36" s="102" t="s">
        <v>913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962</v>
      </c>
      <c r="B37" s="102" t="s">
        <v>915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963</v>
      </c>
      <c r="B38" s="102" t="s">
        <v>917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964</v>
      </c>
      <c r="B39" s="102" t="s">
        <v>919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965</v>
      </c>
      <c r="B40" s="102" t="s">
        <v>602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966</v>
      </c>
      <c r="B41" s="102" t="s">
        <v>604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967</v>
      </c>
      <c r="B42" s="102" t="s">
        <v>927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968</v>
      </c>
      <c r="B43" s="102" t="s">
        <v>969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970</v>
      </c>
      <c r="B44" s="102" t="s">
        <v>971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972</v>
      </c>
      <c r="B45" s="102" t="s">
        <v>973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974</v>
      </c>
      <c r="B46" s="102" t="s">
        <v>975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976</v>
      </c>
      <c r="B47" s="102" t="s">
        <v>977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978</v>
      </c>
      <c r="B48" s="102" t="s">
        <v>979</v>
      </c>
      <c r="C48" s="103" t="s">
        <v>954</v>
      </c>
      <c r="D48" s="103" t="s">
        <v>955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980</v>
      </c>
      <c r="B49" s="102" t="s">
        <v>935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981</v>
      </c>
      <c r="B50" s="102" t="s">
        <v>937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982</v>
      </c>
      <c r="B51" s="102" t="s">
        <v>983</v>
      </c>
      <c r="C51" s="103" t="s">
        <v>984</v>
      </c>
      <c r="D51" s="103" t="s">
        <v>985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986</v>
      </c>
      <c r="B52" s="102" t="s">
        <v>940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987</v>
      </c>
      <c r="B53" s="102" t="s">
        <v>942</v>
      </c>
      <c r="C53" s="103" t="s">
        <v>988</v>
      </c>
      <c r="D53" s="103" t="s">
        <v>989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990</v>
      </c>
      <c r="B54" s="102" t="s">
        <v>991</v>
      </c>
      <c r="C54" s="103" t="s">
        <v>992</v>
      </c>
      <c r="D54" s="103" t="s">
        <v>992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993</v>
      </c>
      <c r="B55" s="102" t="s">
        <v>504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994</v>
      </c>
      <c r="B56" s="242" t="s">
        <v>995</v>
      </c>
      <c r="C56" s="243" t="s">
        <v>493</v>
      </c>
      <c r="D56" s="243" t="s">
        <v>996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997</v>
      </c>
      <c r="B57" s="102" t="s">
        <v>998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999</v>
      </c>
      <c r="B58" s="249" t="s">
        <v>1000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1001</v>
      </c>
      <c r="B59" s="102" t="s">
        <v>1002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1003</v>
      </c>
      <c r="B60" s="102" t="s">
        <v>1004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1005</v>
      </c>
      <c r="B61" s="102" t="s">
        <v>1006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1007</v>
      </c>
      <c r="B62" s="102" t="s">
        <v>1008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1009</v>
      </c>
      <c r="B63" s="102" t="s">
        <v>1010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1011</v>
      </c>
      <c r="B64" s="102" t="s">
        <v>1012</v>
      </c>
      <c r="C64" s="103" t="s">
        <v>1013</v>
      </c>
      <c r="D64" s="103" t="s">
        <v>1014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1015</v>
      </c>
      <c r="B65" s="102" t="s">
        <v>1016</v>
      </c>
      <c r="C65" s="103" t="s">
        <v>1017</v>
      </c>
      <c r="D65" s="103" t="s">
        <v>1018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1019</v>
      </c>
      <c r="B66" s="102" t="s">
        <v>1020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1021</v>
      </c>
      <c r="B67" s="102" t="s">
        <v>1022</v>
      </c>
      <c r="C67" s="103" t="s">
        <v>1023</v>
      </c>
      <c r="D67" s="103" t="s">
        <v>1024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1025</v>
      </c>
      <c r="B68" s="102" t="s">
        <v>1026</v>
      </c>
      <c r="C68" s="103" t="s">
        <v>1027</v>
      </c>
      <c r="D68" s="103" t="s">
        <v>1028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1029</v>
      </c>
      <c r="B69" s="102" t="s">
        <v>1030</v>
      </c>
      <c r="C69" s="103" t="s">
        <v>1027</v>
      </c>
      <c r="D69" s="103" t="s">
        <v>1028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1031</v>
      </c>
      <c r="B70" s="102" t="s">
        <v>1032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1033</v>
      </c>
      <c r="B71" s="102" t="s">
        <v>1026</v>
      </c>
      <c r="C71" s="103" t="s">
        <v>1027</v>
      </c>
      <c r="D71" s="103" t="s">
        <v>1028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2025-11-13T14:17:41Z</dcterms:modified>
</cp:coreProperties>
</file>